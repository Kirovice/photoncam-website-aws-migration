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6981024d0c4b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概要" sheetId="1" r:id="R6644ca4298ae467a"/>
    <x:sheet xmlns:r="http://schemas.openxmlformats.org/officeDocument/2006/relationships" name="01_范围" sheetId="2" r:id="R0541a99d79c7487e"/>
    <x:sheet xmlns:r="http://schemas.openxmlformats.org/officeDocument/2006/relationships" name="02_现状依据" sheetId="3" r:id="R203cc4d07f6f4382"/>
    <x:sheet xmlns:r="http://schemas.openxmlformats.org/officeDocument/2006/relationships" name="03_要件清单" sheetId="4" r:id="R47b83de9e0564fe1"/>
    <x:sheet xmlns:r="http://schemas.openxmlformats.org/officeDocument/2006/relationships" name="04_验收条件" sheetId="5" r:id="R68127ff48af6451d"/>
    <x:sheet xmlns:r="http://schemas.openxmlformats.org/officeDocument/2006/relationships" name="05_待确认" sheetId="6" r:id="R21db108eea8e4b75"/>
    <x:sheet xmlns:r="http://schemas.openxmlformats.org/officeDocument/2006/relationships" name="06_阶段评审" sheetId="7" r:id="Rb251b7828d7d4e49"/>
    <x:sheet xmlns:r="http://schemas.openxmlformats.org/officeDocument/2006/relationships" name="07_页面基线" sheetId="8" r:id="R1109de958a354c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1"/>
      <x:color rgb="FF233044"/>
      <x:name val="Arial"/>
    </x:font>
    <x:font>
      <x:b/>
      <x:sz val="16"/>
      <x:color rgb="FF233C62"/>
      <x:name val="Arial"/>
    </x:font>
    <x:font>
      <x:sz val="10"/>
      <x:color rgb="FF526078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33C62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1CC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center" vertical="center" wrapText="1"/>
    </x:xf>
    <x:xf numFmtId="200" fontId="1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9e5ac1918e4662" /><Relationship Type="http://schemas.openxmlformats.org/officeDocument/2006/relationships/theme" Target="/xl/theme/theme1.xml" Id="R5e3743f81231474a" /><Relationship Type="http://schemas.openxmlformats.org/officeDocument/2006/relationships/sharedStrings" Target="/xl/sharedStrings.xml" Id="Rc1ad2ea36eb842bb" /><Relationship Type="http://schemas.openxmlformats.org/officeDocument/2006/relationships/worksheet" Target="/xl/worksheets/sheet1.xml" Id="R6644ca4298ae467a" /><Relationship Type="http://schemas.openxmlformats.org/officeDocument/2006/relationships/worksheet" Target="/xl/worksheets/sheet2.xml" Id="R0541a99d79c7487e" /><Relationship Type="http://schemas.openxmlformats.org/officeDocument/2006/relationships/worksheet" Target="/xl/worksheets/sheet3.xml" Id="R203cc4d07f6f4382" /><Relationship Type="http://schemas.openxmlformats.org/officeDocument/2006/relationships/worksheet" Target="/xl/worksheets/sheet4.xml" Id="R47b83de9e0564fe1" /><Relationship Type="http://schemas.openxmlformats.org/officeDocument/2006/relationships/worksheet" Target="/xl/worksheets/sheet5.xml" Id="R68127ff48af6451d" /><Relationship Type="http://schemas.openxmlformats.org/officeDocument/2006/relationships/worksheet" Target="/xl/worksheets/sheet6.xml" Id="R21db108eea8e4b75" /><Relationship Type="http://schemas.openxmlformats.org/officeDocument/2006/relationships/worksheet" Target="/xl/worksheets/sheet7.xml" Id="Rb251b7828d7d4e49" /><Relationship Type="http://schemas.openxmlformats.org/officeDocument/2006/relationships/worksheet" Target="/xl/worksheets/sheet8.xml" Id="R1109de958a354ca1" /></Relationships>
</file>

<file path=xl/tables/table1.xml><?xml version="1.0" encoding="utf-8"?>
<x:table xmlns:x="http://schemas.openxmlformats.org/spreadsheetml/2006/main" id="1" name="T0" displayName="T0" ref="A5:C18" headerRowCount="1" totalsRowCount="0" totalsRowShown="0">
  <x:autoFilter ref="A5:C18"/>
  <x:tableColumns count="3">
    <x:tableColumn id="1" name="项目／項目"/>
    <x:tableColumn id="2" name="当前内容／現在の内容"/>
    <x:tableColumn id="3" name="使用说明／使い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1" displayName="T1" ref="A5:F13" headerRowCount="1" totalsRowCount="0" totalsRowShown="0">
  <x:autoFilter ref="A5:F13"/>
  <x:tableColumns count="6">
    <x:tableColumn id="1" name="编号"/>
    <x:tableColumn id="2" name="范围分类"/>
    <x:tableColumn id="3" name="内容／内容"/>
    <x:tableColumn id="4" name="依据"/>
    <x:tableColumn id="5" name="边界与条件"/>
    <x:tableColumn id="6" name="认定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2" displayName="T2" ref="A5:F15" headerRowCount="1" totalsRowCount="0" totalsRowShown="0">
  <x:autoFilter ref="A5:F15"/>
  <x:tableColumns count="6">
    <x:tableColumn id="1" name="依据ID"/>
    <x:tableColumn id="2" name="性质"/>
    <x:tableColumn id="3" name="记录内容"/>
    <x:tableColumn id="4" name="核对状态"/>
    <x:tableColumn id="5" name="来源／出典"/>
    <x:tableColumn id="6" name="限制或补充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3" displayName="T3" ref="A5:G31" headerRowCount="1" totalsRowCount="0" totalsRowShown="0">
  <x:autoFilter ref="A5:G31"/>
  <x:tableColumns count="7">
    <x:tableColumn id="1" name="要件ID"/>
    <x:tableColumn id="2" name="分类"/>
    <x:tableColumn id="3" name="要件内容"/>
    <x:tableColumn id="4" name="依据ID"/>
    <x:tableColumn id="5" name="优先级"/>
    <x:tableColumn id="6" name="评审状态"/>
    <x:tableColumn id="7" name="关联课题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4" displayName="T4" ref="A5:G31" headerRowCount="1" totalsRowCount="0" totalsRowShown="0">
  <x:autoFilter ref="A5:G31"/>
  <x:tableColumns count="7">
    <x:tableColumn id="1" name="验收ID／要件ID"/>
    <x:tableColumn id="2" name="前提"/>
    <x:tableColumn id="3" name="验收条件与方法"/>
    <x:tableColumn id="4" name="应保存证据"/>
    <x:tableColumn id="5" name="适用轮次"/>
    <x:tableColumn id="6" name="执行结果"/>
    <x:tableColumn id="7" name="证据位置／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5" displayName="T5" ref="A5:I16" headerRowCount="1" totalsRowCount="0" totalsRowShown="0">
  <x:autoFilter ref="A5:I16"/>
  <x:tableColumns count="9">
    <x:tableColumn id="1" name="课题ID"/>
    <x:tableColumn id="2" name="主题"/>
    <x:tableColumn id="3" name="待确认问题"/>
    <x:tableColumn id="4" name="影响"/>
    <x:tableColumn id="5" name="关联要件"/>
    <x:tableColumn id="6" name="建议确认角色"/>
    <x:tableColumn id="7" name="最迟阶段"/>
    <x:tableColumn id="8" name="状态"/>
    <x:tableColumn id="9" name="决定／依据／日期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6" displayName="T6" ref="A5:H13" headerRowCount="1" totalsRowCount="0" totalsRowShown="0">
  <x:autoFilter ref="A5:H13"/>
  <x:tableColumns count="8">
    <x:tableColumn id="1" name="阶段ID"/>
    <x:tableColumn id="2" name="阶段"/>
    <x:tableColumn id="3" name="目的"/>
    <x:tableColumn id="4" name="输入"/>
    <x:tableColumn id="5" name="活动"/>
    <x:tableColumn id="6" name="产物"/>
    <x:tableColumn id="7" name="验收与交接条件"/>
    <x:tableColumn id="8" name="评审状态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7" displayName="T7" ref="A5:G55" headerRowCount="1" totalsRowCount="0" totalsRowShown="0">
  <x:autoFilter ref="A5:G55"/>
  <x:tableColumns count="7">
    <x:tableColumn id="1" name="页面ID"/>
    <x:tableColumn id="2" name="语言"/>
    <x:tableColumn id="3" name="现有路径"/>
    <x:tableColumn id="4" name="类型"/>
    <x:tableColumn id="5" name="线上核对"/>
    <x:tableColumn id="6" name="关联要件"/>
    <x:tableColumn id="7" name="目标路径／处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89afb6d199e416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ce0eb67a43e4bf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327381fd6c24d2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345b1242a0d454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485904b176c423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df2fca7eead4de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ebf432af2d74c2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4995650a1c164c4f" /></Relationships>
</file>

<file path=xl/worksheets/sheet1.xml><?xml version="1.0" encoding="utf-8"?>
<x:worksheet xmlns:x="http://schemas.openxmlformats.org/spreadsheetml/2006/main">
  <x:sheetPr>
    <x:tabColor rgb="FF233C6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57" hidden="0" customWidth="1"/>
    <x:col min="3" max="3" width="68" hidden="0" customWidth="1"/>
  </x:cols>
  <x:sheetData>
    <x:row r="1">
      <x:c r="A1" s="2"/>
      <x:c r="B1" s="2"/>
      <x:c r="C1" s="2"/>
    </x:row>
    <x:row r="2">
      <x:c r="A2" s="3" t="str">
        <x:v>PhotonCam AWS 要件定义</x:v>
      </x:c>
      <x:c r="B2" s="2"/>
      <x:c r="C2" s="2"/>
    </x:row>
    <x:row r="3">
      <x:c r="A3" s="4" t="str">
        <x:v>v0.1 评审草案／レビュー草案　2026-09-15</x:v>
      </x:c>
      <x:c r="B3" s="2"/>
      <x:c r="C3" s="2"/>
    </x:row>
    <x:row r="4">
      <x:c r="A4" s="2"/>
      <x:c r="B4" s="2"/>
      <x:c r="C4" s="2"/>
    </x:row>
    <x:row r="5" ht="38" customHeight="1">
      <x:c r="A5" s="8" t="str">
        <x:v>项目／項目</x:v>
      </x:c>
      <x:c r="B5" s="8" t="str">
        <x:v>当前内容／現在の内容</x:v>
      </x:c>
      <x:c r="C5" s="8" t="str">
        <x:v>使用说明／使い方</x:v>
      </x:c>
    </x:row>
    <x:row r="6" ht="42" customHeight="1">
      <x:c r="A6" s="10" t="str">
        <x:v>目标</x:v>
      </x:c>
      <x:c r="B6" s="10" t="str">
        <x:v>为现有网站提供 AWS 环境并完成迁移</x:v>
      </x:c>
      <x:c r="C6" s="10" t="str">
        <x:v>先 dev 学习、构建验证与迁移演练，再正式迁移。</x:v>
      </x:c>
    </x:row>
    <x:row r="7" ht="42" customHeight="1">
      <x:c r="A7" s="11" t="str">
        <x:v>本次成果</x:v>
      </x:c>
      <x:c r="B7" s="11" t="str">
        <x:v>要件定义首版，尚未评审通过</x:v>
      </x:c>
      <x:c r="C7" s="11" t="str">
        <x:v>区分事实、用户约定、提案和待确认事项。</x:v>
      </x:c>
    </x:row>
    <x:row r="8" ht="42" customHeight="1">
      <x:c r="A8" s="10" t="str">
        <x:v>要件总数</x:v>
      </x:c>
      <x:c r="B8" s="15" t="n">
        <x:f>COUNTA('03_要件清单'!A6:A31)</x:f>
        <x:v>26</x:v>
      </x:c>
      <x:c r="C8" s="10" t="str">
        <x:v>来自 03_要件清单，随现有表内记录变化。</x:v>
      </x:c>
    </x:row>
    <x:row r="9" ht="42" customHeight="1">
      <x:c r="A9" s="11" t="str">
        <x:v>已确认要件</x:v>
      </x:c>
      <x:c r="B9" s="16" t="n">
        <x:f>COUNTIFS('03_要件清单'!F6:F31,"已确认")</x:f>
        <x:v>0</x:v>
      </x:c>
      <x:c r="C9" s="11" t="str">
        <x:v>仅统计评审状态为“已确认”；不表示已实现。</x:v>
      </x:c>
    </x:row>
    <x:row r="10" ht="42" customHeight="1">
      <x:c r="A10" s="10" t="str">
        <x:v>未决事项</x:v>
      </x:c>
      <x:c r="B10" s="15" t="n">
        <x:f>COUNTA('05_待确认'!A6:A16)-COUNTIFS('05_待确认'!H6:H16,"已解决")</x:f>
        <x:v>11</x:v>
      </x:c>
      <x:c r="C10" s="10" t="str">
        <x:v>05_待确认中状态不为“已解决”的条目。</x:v>
      </x:c>
    </x:row>
    <x:row r="11" ht="42" customHeight="1">
      <x:c r="A11" s="11" t="str">
        <x:v>线上核对文件</x:v>
      </x:c>
      <x:c r="B11" s="11" t="n">
        <x:v>126</x:v>
      </x:c>
      <x:c r="C11" s="11" t="str">
        <x:v>2026-09-15 的 HTML/JS/CSS/XML 对照，非 AWS 验收。</x:v>
      </x:c>
    </x:row>
    <x:row r="12" ht="42" customHeight="1">
      <x:c r="A12" s="10" t="str">
        <x:v>页面基线</x:v>
      </x:c>
      <x:c r="B12" s="10" t="n">
        <x:v>50</x:v>
      </x:c>
      <x:c r="C12" s="10" t="str">
        <x:v>48 个内容页及 2 个错误页，见 07_页面基线。</x:v>
      </x:c>
    </x:row>
    <x:row r="13" ht="42" customHeight="1">
      <x:c r="A13" s="11" t="str">
        <x:v>首要阻碍</x:v>
      </x:c>
      <x:c r="B13" s="11" t="str">
        <x:v>构建版本不一致，尚未实际重建</x:v>
      </x:c>
      <x:c r="C13" s="11" t="str">
        <x:v>源码清单 3.6.3 系列、锁文件 3.0.1、线上及 ZIP 3.5.2。</x:v>
      </x:c>
    </x:row>
    <x:row r="14" ht="42" customHeight="1">
      <x:c r="A14" s="10" t="str">
        <x:v>评审顺序</x:v>
      </x:c>
      <x:c r="B14" s="10" t="str">
        <x:v>范围、待确认事项、要件及验收条件</x:v>
      </x:c>
      <x:c r="C14" s="10" t="str">
        <x:v>完成阶段评审记录后再进入基本设计。</x:v>
      </x:c>
    </x:row>
    <x:row r="15" ht="42" customHeight="1">
      <x:c r="A15" s="11" t="str">
        <x:v>填写规则</x:v>
      </x:c>
      <x:c r="B15" s="11" t="str">
        <x:v>黄色单元格为评审／执行输入</x:v>
      </x:c>
      <x:c r="C15" s="11" t="str">
        <x:v>状态下拉可编辑；标明责任、日期和证据。</x:v>
      </x:c>
    </x:row>
    <x:row r="16" ht="42" customHeight="1">
      <x:c r="A16" s="10" t="str">
        <x:v>实现状态</x:v>
      </x:c>
      <x:c r="B16" s="10" t="str">
        <x:v>未构建 AWS；未执行源码编译</x:v>
      </x:c>
      <x:c r="C16" s="10" t="str">
        <x:v>本次只制作文档；验收表中的“未实施”为事实。</x:v>
      </x:c>
    </x:row>
    <x:row r="17" ht="42" customHeight="1">
      <x:c r="A17" s="11" t="str">
        <x:v>确认人</x:v>
      </x:c>
      <x:c r="B17" s="11" t="str">
        <x:v>待确认</x:v>
      </x:c>
      <x:c r="C17" s="11" t="str">
        <x:v>由用户确认审批角色，详见 Q11。</x:v>
      </x:c>
    </x:row>
    <x:row r="18" ht="42" customHeight="1">
      <x:c r="A18" s="10" t="str">
        <x:v>变更管理</x:v>
      </x:c>
      <x:c r="B18" s="10" t="str">
        <x:v>v0.1 初版</x:v>
      </x:c>
      <x:c r="C18" s="10" t="str">
        <x:v>后续变更保留编号，更新 MD、变更记录和日报。</x:v>
      </x:c>
    </x:row>
  </x:sheetData>
  <x:pageMargins left="0.7" right="0.7" top="0.75" bottom="0.75" header="0.3" footer="0.3"/>
  <x:tableParts count="1">
    <x:tablePart xmlns:r="http://schemas.openxmlformats.org/officeDocument/2006/relationships" r:id="Ra89afb6d199e416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48" hidden="0" customWidth="1"/>
    <x:col min="4" max="4" width="22" hidden="0" customWidth="1"/>
    <x:col min="5" max="5" width="57" hidden="0" customWidth="1"/>
    <x:col min="6" max="6" width="17" hidden="0" customWidth="1"/>
  </x:cols>
  <x:sheetData>
    <x:row r="1">
      <x:c r="A1" s="2"/>
      <x:c r="B1" s="2"/>
      <x:c r="C1" s="2"/>
      <x:c r="D1" s="2"/>
      <x:c r="E1" s="2"/>
      <x:c r="F1" s="2"/>
    </x:row>
    <x:row r="2">
      <x:c r="A2" s="3" t="str">
        <x:v>项目范围与边界</x:v>
      </x:c>
      <x:c r="B2" s="2"/>
      <x:c r="C2" s="2"/>
      <x:c r="D2" s="2"/>
      <x:c r="E2" s="2"/>
      <x:c r="F2" s="2"/>
    </x:row>
    <x:row r="3">
      <x:c r="A3" s="4" t="str">
        <x:v>先 dev，后正式迁移；扩展练习单独评估</x:v>
      </x:c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 ht="38" customHeight="1">
      <x:c r="A5" s="8" t="str">
        <x:v>编号</x:v>
      </x:c>
      <x:c r="B5" s="8" t="str">
        <x:v>范围分类</x:v>
      </x:c>
      <x:c r="C5" s="8" t="str">
        <x:v>内容／内容</x:v>
      </x:c>
      <x:c r="D5" s="8" t="str">
        <x:v>依据</x:v>
      </x:c>
      <x:c r="E5" s="8" t="str">
        <x:v>边界与条件</x:v>
      </x:c>
      <x:c r="F5" s="8" t="str">
        <x:v>认定状态</x:v>
      </x:c>
    </x:row>
    <x:row r="6" ht="42" customHeight="1">
      <x:c r="A6" s="10" t="str">
        <x:v>SC01</x:v>
      </x:c>
      <x:c r="B6" s="10" t="str">
        <x:v>本轮纳入</x:v>
      </x:c>
      <x:c r="C6" s="10" t="str">
        <x:v>AWS dev 环境、源码构建和静态发布</x:v>
      </x:c>
      <x:c r="D6" s="10" t="str">
        <x:v>S01</x:v>
      </x:c>
      <x:c r="E6" s="10" t="str">
        <x:v>先验证构建，再设计 AWS</x:v>
      </x:c>
      <x:c r="F6" s="10" t="str">
        <x:v>已约定</x:v>
      </x:c>
    </x:row>
    <x:row r="7" ht="42" customHeight="1">
      <x:c r="A7" s="11" t="str">
        <x:v>SC02</x:v>
      </x:c>
      <x:c r="B7" s="11" t="str">
        <x:v>本轮纳入</x:v>
      </x:c>
      <x:c r="C7" s="11" t="str">
        <x:v>GitHub 与 CodePipeline 自动构建部署</x:v>
      </x:c>
      <x:c r="D7" s="11" t="str">
        <x:v>S01,S06</x:v>
      </x:c>
      <x:c r="E7" s="11" t="str">
        <x:v>具体触发分支由 Q05 决定</x:v>
      </x:c>
      <x:c r="F7" s="11" t="str">
        <x:v>已约定</x:v>
      </x:c>
    </x:row>
    <x:row r="8" ht="42" customHeight="1">
      <x:c r="A8" s="10" t="str">
        <x:v>SC03</x:v>
      </x:c>
      <x:c r="B8" s="10" t="str">
        <x:v>后续纳入</x:v>
      </x:c>
      <x:c r="C8" s="10" t="str">
        <x:v>整个网站的正式迁移与运维交接</x:v>
      </x:c>
      <x:c r="D8" s="10" t="str">
        <x:v>S01</x:v>
      </x:c>
      <x:c r="E8" s="10" t="str">
        <x:v>完成 dev 验收与正式迁移评审后</x:v>
      </x:c>
      <x:c r="F8" s="10" t="str">
        <x:v>已约定</x:v>
      </x:c>
    </x:row>
    <x:row r="9" ht="42" customHeight="1">
      <x:c r="A9" s="11" t="str">
        <x:v>SC04</x:v>
      </x:c>
      <x:c r="B9" s="11" t="str">
        <x:v>后续纳入</x:v>
      </x:c>
      <x:c r="C9" s="11" t="str">
        <x:v>CloudFormation 第二轮重建与复测</x:v>
      </x:c>
      <x:c r="D9" s="11" t="str">
        <x:v>S01</x:v>
      </x:c>
      <x:c r="E9" s="11" t="str">
        <x:v>保存首轮证据并清理专用资源后</x:v>
      </x:c>
      <x:c r="F9" s="11" t="str">
        <x:v>已约定</x:v>
      </x:c>
    </x:row>
    <x:row r="10" ht="42" customHeight="1">
      <x:c r="A10" s="10" t="str">
        <x:v>SC05</x:v>
      </x:c>
      <x:c r="B10" s="10" t="str">
        <x:v>扩展评估</x:v>
      </x:c>
      <x:c r="C10" s="10" t="str">
        <x:v>容器、Kubernetes 学习与可行性</x:v>
      </x:c>
      <x:c r="D10" s="10" t="str">
        <x:v>S01</x:v>
      </x:c>
      <x:c r="E10" s="10" t="str">
        <x:v>实施前评估架构、费用、清理</x:v>
      </x:c>
      <x:c r="F10" s="10" t="str">
        <x:v>已约定</x:v>
      </x:c>
    </x:row>
    <x:row r="11" ht="42" customHeight="1">
      <x:c r="A11" s="11" t="str">
        <x:v>SC06</x:v>
      </x:c>
      <x:c r="B11" s="11" t="str">
        <x:v>本轮不含</x:v>
      </x:c>
      <x:c r="C11" s="11" t="str">
        <x:v>相机 App 开发、App Store 发布、功能改版</x:v>
      </x:c>
      <x:c r="D11" s="11" t="str">
        <x:v>网站迁移范围</x:v>
      </x:c>
      <x:c r="E11" s="11" t="str">
        <x:v>网站介绍的 App 功能不等于本项目功能</x:v>
      </x:c>
      <x:c r="F11" s="11" t="str">
        <x:v>范围解释</x:v>
      </x:c>
    </x:row>
    <x:row r="12" ht="42" customHeight="1">
      <x:c r="A12" s="10" t="str">
        <x:v>SC07</x:v>
      </x:c>
      <x:c r="B12" s="10" t="str">
        <x:v>待确认</x:v>
      </x:c>
      <x:c r="C12" s="10" t="str">
        <x:v>域名迁移边界及主站其他路径</x:v>
      </x:c>
      <x:c r="D12" s="10" t="str">
        <x:v>Q02</x:v>
      </x:c>
      <x:c r="E12" s="10" t="str">
        <x:v>不能推断整个域名都属于 PhotonCam 迁移</x:v>
      </x:c>
      <x:c r="F12" s="10" t="str">
        <x:v>待确认</x:v>
      </x:c>
    </x:row>
    <x:row r="13" ht="42" customHeight="1">
      <x:c r="A13" s="11" t="str">
        <x:v>SC08</x:v>
      </x:c>
      <x:c r="B13" s="11" t="str">
        <x:v>待确认</x:v>
      </x:c>
      <x:c r="C13" s="11" t="str">
        <x:v>服务端接口、用户数据、外部依赖</x:v>
      </x:c>
      <x:c r="D13" s="11" t="str">
        <x:v>Q10</x:v>
      </x:c>
      <x:c r="E13" s="11" t="str">
        <x:v>目前只确认静态发布物，不等于证明无后台依赖</x:v>
      </x:c>
      <x:c r="F13" s="11" t="str">
        <x:v>待确认</x:v>
      </x:c>
    </x:row>
  </x:sheetData>
  <x:pageMargins left="0.7" right="0.7" top="0.75" bottom="0.75" header="0.3" footer="0.3"/>
  <x:tableParts count="1">
    <x:tablePart xmlns:r="http://schemas.openxmlformats.org/officeDocument/2006/relationships" r:id="R9ce0eb67a43e4bf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17" hidden="0" customWidth="1"/>
    <x:col min="3" max="3" width="55" hidden="0" customWidth="1"/>
    <x:col min="4" max="4" width="17" hidden="0" customWidth="1"/>
    <x:col min="5" max="5" width="62" hidden="0" customWidth="1"/>
    <x:col min="6" max="6" width="55" hidden="0" customWidth="1"/>
  </x:cols>
  <x:sheetData>
    <x:row r="1">
      <x:c r="A1" s="2"/>
      <x:c r="B1" s="2"/>
      <x:c r="C1" s="2"/>
      <x:c r="D1" s="2"/>
      <x:c r="E1" s="2"/>
      <x:c r="F1" s="2"/>
    </x:row>
    <x:row r="2">
      <x:c r="A2" s="3" t="str">
        <x:v>现状、依据与限制</x:v>
      </x:c>
      <x:c r="B2" s="2"/>
      <x:c r="C2" s="2"/>
      <x:c r="D2" s="2"/>
      <x:c r="E2" s="2"/>
      <x:c r="F2" s="2"/>
    </x:row>
    <x:row r="3">
      <x:c r="A3" s="4" t="str">
        <x:v>事实与假设分开；来源集中在本表</x:v>
      </x:c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 ht="38" customHeight="1">
      <x:c r="A5" s="8" t="str">
        <x:v>依据ID</x:v>
      </x:c>
      <x:c r="B5" s="8" t="str">
        <x:v>性质</x:v>
      </x:c>
      <x:c r="C5" s="8" t="str">
        <x:v>记录内容</x:v>
      </x:c>
      <x:c r="D5" s="8" t="str">
        <x:v>核对状态</x:v>
      </x:c>
      <x:c r="E5" s="8" t="str">
        <x:v>来源／出典</x:v>
      </x:c>
      <x:c r="F5" s="8" t="str">
        <x:v>限制或补充</x:v>
      </x:c>
    </x:row>
    <x:row r="6" ht="42" customHeight="1">
      <x:c r="A6" s="10" t="str">
        <x:v>S01</x:v>
      </x:c>
      <x:c r="B6" s="10" t="str">
        <x:v>用户约定</x:v>
      </x:c>
      <x:c r="C6" s="10" t="str">
        <x:v>先 dev 后正式；AWS 构建、自动部署、两轮练习及记录规则</x:v>
      </x:c>
      <x:c r="D6" s="10" t="str">
        <x:v>已约定</x:v>
      </x:c>
      <x:c r="E6" s="10" t="str">
        <x:v>AGENTS.md；本任务用户要求</x:v>
      </x:c>
      <x:c r="F6" s="10" t="str">
        <x:v>规则不是实现完成证明</x:v>
      </x:c>
    </x:row>
    <x:row r="7" ht="44" customHeight="1">
      <x:c r="A7" s="11" t="str">
        <x:v>S02</x:v>
      </x:c>
      <x:c r="B7" s="11" t="str">
        <x:v>调查事实</x:v>
      </x:c>
      <x:c r="C7" s="11" t="str">
        <x:v>126 文件线上与 ZIP 哈希相同；含 50 HTML、72 JS、2 CSS、2 XML</x:v>
      </x:c>
      <x:c r="D7" s="11" t="str">
        <x:v>已核对</x:v>
      </x:c>
      <x:c r="E7" s="11" t="str">
        <x:v>线上与ZIP核对证据.json</x:v>
      </x:c>
      <x:c r="F7" s="11" t="str">
        <x:v>仅已列文件，不含全部线上图片与浏览器操作</x:v>
      </x:c>
    </x:row>
    <x:row r="8" ht="42" customHeight="1">
      <x:c r="A8" s="10" t="str">
        <x:v>S03</x:v>
      </x:c>
      <x:c r="B8" s="10" t="str">
        <x:v>调查事实</x:v>
      </x:c>
      <x:c r="C8" s="10" t="str">
        <x:v>中英文成品与 50 条页面基线；路径前缀 /photoncam/</x:v>
      </x:c>
      <x:c r="D8" s="10" t="str">
        <x:v>已核对</x:v>
      </x:c>
      <x:c r="E8" s="10" t="str">
        <x:v>https://juniperphoton.dev/photoncam/zh-hans/</x:v>
      </x:c>
      <x:c r="F8" s="10" t="str">
        <x:v>在线成品会变化；本版依据 2026-09-15 快照</x:v>
      </x:c>
    </x:row>
    <x:row r="9" ht="42" customHeight="1">
      <x:c r="A9" s="11" t="str">
        <x:v>S04</x:v>
      </x:c>
      <x:c r="B9" s="11" t="str">
        <x:v>调查事实</x:v>
      </x:c>
      <x:c r="C9" s="11" t="str">
        <x:v>build 脚本调用 docusaurus build，输出 build 静态文件</x:v>
      </x:c>
      <x:c r="D9" s="11" t="str">
        <x:v>已检查</x:v>
      </x:c>
      <x:c r="E9" s="11" t="str">
        <x:v>源码 package.json、配置；源码与发布包构建调查.md</x:v>
      </x:c>
      <x:c r="F9" s="11" t="str">
        <x:v>尚未实际安装与构建</x:v>
      </x:c>
    </x:row>
    <x:row r="10" ht="42" customHeight="1">
      <x:c r="A10" s="10" t="str">
        <x:v>S05</x:v>
      </x:c>
      <x:c r="B10" s="10" t="str">
        <x:v>调查事实</x:v>
      </x:c>
      <x:c r="C10" s="10" t="str">
        <x:v>清单 3.6.3 系列／锁文件 3.0.1／线上与 ZIP 3.5.2</x:v>
      </x:c>
      <x:c r="D10" s="10" t="str">
        <x:v>已检查</x:v>
      </x:c>
      <x:c r="E10" s="10" t="str">
        <x:v>源码清单及锁文件；ZIP 与线上 HTML generator</x:v>
      </x:c>
      <x:c r="F10" s="10" t="str">
        <x:v>版本不一致待 Q04；原构建环境未知</x:v>
      </x:c>
    </x:row>
    <x:row r="11" ht="42" customHeight="1">
      <x:c r="A11" s="11" t="str">
        <x:v>S06</x:v>
      </x:c>
      <x:c r="B11" s="11" t="str">
        <x:v>用户约定</x:v>
      </x:c>
      <x:c r="C11" s="11" t="str">
        <x:v>以后把编译步骤迁移到 AWS</x:v>
      </x:c>
      <x:c r="D11" s="11" t="str">
        <x:v>已约定</x:v>
      </x:c>
      <x:c r="E11" s="11" t="str">
        <x:v>本任务用户要求；AGENTS.md</x:v>
      </x:c>
      <x:c r="F11" s="11" t="str">
        <x:v>CodeBuild 为实现候选；详细配置属于设计</x:v>
      </x:c>
    </x:row>
    <x:row r="12" ht="42" customHeight="1">
      <x:c r="A12" s="10" t="str">
        <x:v>S07</x:v>
      </x:c>
      <x:c r="B12" s="10" t="str">
        <x:v>调查事实</x:v>
      </x:c>
      <x:c r="C12" s="10" t="str">
        <x:v>私有源码工作副本与 origin main 已核对为同一提交</x:v>
      </x:c>
      <x:c r="D12" s="10" t="str">
        <x:v>已核对</x:v>
      </x:c>
      <x:c r="E12" s="10" t="str">
        <x:v>源码 Git 检查；源码与发布包构建调查.md</x:v>
      </x:c>
      <x:c r="F12" s="10" t="str">
        <x:v>572c5a1311151acd45a361aa718f59070bfde32d</x:v>
      </x:c>
    </x:row>
    <x:row r="13" ht="42" customHeight="1">
      <x:c r="A13" s="11" t="str">
        <x:v>S08</x:v>
      </x:c>
      <x:c r="B13" s="11" t="str">
        <x:v>调查事实</x:v>
      </x:c>
      <x:c r="C13" s="11" t="str">
        <x:v>源码 static 的 94 文件与 ZIP 对应文件内容一致</x:v>
      </x:c>
      <x:c r="D13" s="11" t="str">
        <x:v>已核对</x:v>
      </x:c>
      <x:c r="E13" s="11" t="str">
        <x:v>源码与发布包构建调查.md</x:v>
      </x:c>
      <x:c r="F13" s="11" t="str">
        <x:v>不是源码与线上全部内容一致的证明</x:v>
      </x:c>
    </x:row>
    <x:row r="14" ht="42" customHeight="1">
      <x:c r="A14" s="10" t="str">
        <x:v>S09</x:v>
      </x:c>
      <x:c r="B14" s="10" t="str">
        <x:v>调查事实</x:v>
      </x:c>
      <x:c r="C14" s="10" t="str">
        <x:v>旧 deploy.sh 上传已有产物，不执行编译</x:v>
      </x:c>
      <x:c r="D14" s="10" t="str">
        <x:v>已检查</x:v>
      </x:c>
      <x:c r="E14" s="10" t="str">
        <x:v>源码 deploy.sh；源码与发布包构建调查.md</x:v>
      </x:c>
      <x:c r="F14" s="10" t="str">
        <x:v>脚本未执行，不能直接用于 AWS</x:v>
      </x:c>
    </x:row>
    <x:row r="15" ht="42" customHeight="1">
      <x:c r="A15" s="11" t="str">
        <x:v>S10</x:v>
      </x:c>
      <x:c r="B15" s="11" t="str">
        <x:v>假设</x:v>
      </x:c>
      <x:c r="C15" s="11" t="str">
        <x:v>当前主要交付为可静态托管的网站</x:v>
      </x:c>
      <x:c r="D15" s="11" t="str">
        <x:v>待确认</x:v>
      </x:c>
      <x:c r="E15" s="11" t="str">
        <x:v>S02,S04 与 Q10</x:v>
      </x:c>
      <x:c r="F15" s="11" t="str">
        <x:v>现有发布物支持此判断，仍需确认外部依赖</x:v>
      </x:c>
    </x:row>
  </x:sheetData>
  <x:pageMargins left="0.7" right="0.7" top="0.75" bottom="0.75" header="0.3" footer="0.3"/>
  <x:tableParts count="1">
    <x:tablePart xmlns:r="http://schemas.openxmlformats.org/officeDocument/2006/relationships" r:id="R9327381fd6c24d2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15" hidden="0" customWidth="1"/>
    <x:col min="3" max="3" width="76" hidden="0" customWidth="1"/>
    <x:col min="4" max="4" width="24" hidden="0" customWidth="1"/>
    <x:col min="5" max="5" width="14" hidden="0" customWidth="1"/>
    <x:col min="6" max="6" width="18" hidden="0" customWidth="1"/>
    <x:col min="7" max="7" width="21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要件清单</x:v>
      </x:c>
      <x:c r="B2" s="2"/>
      <x:c r="C2" s="2"/>
      <x:c r="D2" s="2"/>
      <x:c r="E2" s="2"/>
      <x:c r="F2" s="2"/>
      <x:c r="G2" s="2"/>
    </x:row>
    <x:row r="3">
      <x:c r="A3" s="4" t="str">
        <x:v>草案状态表示尚未评审；优先级为初拟</x:v>
      </x:c>
      <x:c r="B3" s="2"/>
      <x:c r="C3" s="2"/>
      <x:c r="D3" s="2"/>
      <x:c r="E3" s="2"/>
      <x:c r="F3" s="2"/>
      <x:c r="G3" s="2"/>
    </x:row>
    <x:row r="4">
      <x:c r="A4" s="2"/>
      <x:c r="B4" s="2"/>
      <x:c r="C4" s="2"/>
      <x:c r="D4" s="2"/>
      <x:c r="E4" s="2"/>
      <x:c r="F4" s="2"/>
      <x:c r="G4" s="2"/>
    </x:row>
    <x:row r="5" ht="38" customHeight="1">
      <x:c r="A5" s="8" t="str">
        <x:v>要件ID</x:v>
      </x:c>
      <x:c r="B5" s="8" t="str">
        <x:v>分类</x:v>
      </x:c>
      <x:c r="C5" s="8" t="str">
        <x:v>要件内容</x:v>
      </x:c>
      <x:c r="D5" s="8" t="str">
        <x:v>依据ID</x:v>
      </x:c>
      <x:c r="E5" s="8" t="str">
        <x:v>优先级</x:v>
      </x:c>
      <x:c r="F5" s="8" t="str">
        <x:v>评审状态</x:v>
      </x:c>
      <x:c r="G5" s="8" t="str">
        <x:v>关联课题</x:v>
      </x:c>
    </x:row>
    <x:row r="6" ht="42" customHeight="1">
      <x:c r="A6" s="10" t="str">
        <x:v>R01</x:v>
      </x:c>
      <x:c r="B6" s="10" t="str">
        <x:v>业务</x:v>
      </x:c>
      <x:c r="C6" s="10" t="str">
        <x:v>在 AWS 提供可部署网站的 dev 环境，验证后再正式迁移。</x:v>
      </x:c>
      <x:c r="D6" s="10" t="str">
        <x:v>S01</x:v>
      </x:c>
      <x:c r="E6" s="12" t="str">
        <x:v>必须</x:v>
      </x:c>
      <x:c r="F6" s="12" t="str">
        <x:v>草案</x:v>
      </x:c>
      <x:c r="G6" s="10" t="str">
        <x:v>Q01</x:v>
      </x:c>
    </x:row>
    <x:row r="7" ht="42" customHeight="1">
      <x:c r="A7" s="11" t="str">
        <x:v>R02</x:v>
      </x:c>
      <x:c r="B7" s="11" t="str">
        <x:v>功能</x:v>
      </x:c>
      <x:c r="C7" s="11" t="str">
        <x:v>保留页面基线中的中英文页面及内容，差异须记录并确认。</x:v>
      </x:c>
      <x:c r="D7" s="11" t="str">
        <x:v>S02,S03</x:v>
      </x:c>
      <x:c r="E7" s="12" t="str">
        <x:v>必须</x:v>
      </x:c>
      <x:c r="F7" s="12" t="str">
        <x:v>草案</x:v>
      </x:c>
      <x:c r="G7" s="11" t="str">
        <x:v>Q02</x:v>
      </x:c>
    </x:row>
    <x:row r="8" ht="42" customHeight="1">
      <x:c r="A8" s="10" t="str">
        <x:v>R03</x:v>
      </x:c>
      <x:c r="B8" s="10" t="str">
        <x:v>功能</x:v>
      </x:c>
      <x:c r="C8" s="10" t="str">
        <x:v>保留中英文访问和可用的语言切换入口。</x:v>
      </x:c>
      <x:c r="D8" s="10" t="str">
        <x:v>S03</x:v>
      </x:c>
      <x:c r="E8" s="12" t="str">
        <x:v>建议</x:v>
      </x:c>
      <x:c r="F8" s="12" t="str">
        <x:v>草案</x:v>
      </x:c>
      <x:c r="G8" s="10" t="str">
        <x:v>Q03</x:v>
      </x:c>
    </x:row>
    <x:row r="9" ht="42" customHeight="1">
      <x:c r="A9" s="11" t="str">
        <x:v>R04</x:v>
      </x:c>
      <x:c r="B9" s="11" t="str">
        <x:v>功能</x:v>
      </x:c>
      <x:c r="C9" s="11" t="str">
        <x:v>保留首页产品介绍、App Store 下载入口及现有外部链接。</x:v>
      </x:c>
      <x:c r="D9" s="11" t="str">
        <x:v>S03</x:v>
      </x:c>
      <x:c r="E9" s="12" t="str">
        <x:v>建议</x:v>
      </x:c>
      <x:c r="F9" s="12" t="str">
        <x:v>草案</x:v>
      </x:c>
      <x:c r="G9" s="11" t="str">
        <x:v>—</x:v>
      </x:c>
    </x:row>
    <x:row r="10" ht="42" customHeight="1">
      <x:c r="A10" s="10" t="str">
        <x:v>R05</x:v>
      </x:c>
      <x:c r="B10" s="10" t="str">
        <x:v>功能</x:v>
      </x:c>
      <x:c r="C10" s="10" t="str">
        <x:v>保留教程、介绍、隐私、订阅和图库页面的可读性及导航。</x:v>
      </x:c>
      <x:c r="D10" s="10" t="str">
        <x:v>S02,S03</x:v>
      </x:c>
      <x:c r="E10" s="12" t="str">
        <x:v>建议</x:v>
      </x:c>
      <x:c r="F10" s="12" t="str">
        <x:v>草案</x:v>
      </x:c>
      <x:c r="G10" s="10" t="str">
        <x:v>Q03</x:v>
      </x:c>
    </x:row>
    <x:row r="11" ht="42" customHeight="1">
      <x:c r="A11" s="11" t="str">
        <x:v>R06</x:v>
      </x:c>
      <x:c r="B11" s="11" t="str">
        <x:v>功能</x:v>
      </x:c>
      <x:c r="C11" s="11" t="str">
        <x:v>页面深层链接、刷新及资源路径在目标基础路径下正常工作。</x:v>
      </x:c>
      <x:c r="D11" s="11" t="str">
        <x:v>S02,S04</x:v>
      </x:c>
      <x:c r="E11" s="12" t="str">
        <x:v>必须</x:v>
      </x:c>
      <x:c r="F11" s="12" t="str">
        <x:v>草案</x:v>
      </x:c>
      <x:c r="G11" s="11" t="str">
        <x:v>Q02</x:v>
      </x:c>
    </x:row>
    <x:row r="12" ht="42" customHeight="1">
      <x:c r="A12" s="10" t="str">
        <x:v>R07</x:v>
      </x:c>
      <x:c r="B12" s="10" t="str">
        <x:v>功能</x:v>
      </x:c>
      <x:c r="C12" s="10" t="str">
        <x:v>为不存在的路径返回合适的错误页与 HTTP 状态。</x:v>
      </x:c>
      <x:c r="D12" s="10" t="str">
        <x:v>提案</x:v>
      </x:c>
      <x:c r="E12" s="12" t="str">
        <x:v>建议</x:v>
      </x:c>
      <x:c r="F12" s="12" t="str">
        <x:v>草案</x:v>
      </x:c>
      <x:c r="G12" s="10" t="str">
        <x:v>Q02</x:v>
      </x:c>
    </x:row>
    <x:row r="13" ht="42" customHeight="1">
      <x:c r="A13" s="11" t="str">
        <x:v>R08</x:v>
      </x:c>
      <x:c r="B13" s="11" t="str">
        <x:v>构建</x:v>
      </x:c>
      <x:c r="C13" s="11" t="str">
        <x:v>固定源码提交、Node/npm 和依赖版本，使干净环境构建可重复。</x:v>
      </x:c>
      <x:c r="D13" s="11" t="str">
        <x:v>S04,S05</x:v>
      </x:c>
      <x:c r="E13" s="12" t="str">
        <x:v>必须</x:v>
      </x:c>
      <x:c r="F13" s="12" t="str">
        <x:v>草案</x:v>
      </x:c>
      <x:c r="G13" s="11" t="str">
        <x:v>Q04</x:v>
      </x:c>
    </x:row>
    <x:row r="14" ht="42" customHeight="1">
      <x:c r="A14" s="10" t="str">
        <x:v>R09</x:v>
      </x:c>
      <x:c r="B14" s="10" t="str">
        <x:v>构建</x:v>
      </x:c>
      <x:c r="C14" s="10" t="str">
        <x:v>以源码构建出的 build 静态产物进行 dev 部署演练。</x:v>
      </x:c>
      <x:c r="D14" s="10" t="str">
        <x:v>S01,S04</x:v>
      </x:c>
      <x:c r="E14" s="12" t="str">
        <x:v>必须</x:v>
      </x:c>
      <x:c r="F14" s="12" t="str">
        <x:v>草案</x:v>
      </x:c>
      <x:c r="G14" s="10" t="str">
        <x:v>Q04</x:v>
      </x:c>
    </x:row>
    <x:row r="15" ht="42" customHeight="1">
      <x:c r="A15" s="11" t="str">
        <x:v>R10</x:v>
      </x:c>
      <x:c r="B15" s="11" t="str">
        <x:v>自动化</x:v>
      </x:c>
      <x:c r="C15" s="11" t="str">
        <x:v>将安装依赖和网站构建步骤迁入 AWS。</x:v>
      </x:c>
      <x:c r="D15" s="11" t="str">
        <x:v>S01,S06</x:v>
      </x:c>
      <x:c r="E15" s="12" t="str">
        <x:v>必须</x:v>
      </x:c>
      <x:c r="F15" s="12" t="str">
        <x:v>草案</x:v>
      </x:c>
      <x:c r="G15" s="11" t="str">
        <x:v>Q04</x:v>
      </x:c>
    </x:row>
    <x:row r="16" ht="42" customHeight="1">
      <x:c r="A16" s="10" t="str">
        <x:v>R11</x:v>
      </x:c>
      <x:c r="B16" s="10" t="str">
        <x:v>自动化</x:v>
      </x:c>
      <x:c r="C16" s="10" t="str">
        <x:v>GitHub 与 CodePipeline 联动，按约定分支自动触发 dev 构建部署。</x:v>
      </x:c>
      <x:c r="D16" s="10" t="str">
        <x:v>S01,S06</x:v>
      </x:c>
      <x:c r="E16" s="12" t="str">
        <x:v>必须</x:v>
      </x:c>
      <x:c r="F16" s="12" t="str">
        <x:v>草案</x:v>
      </x:c>
      <x:c r="G16" s="10" t="str">
        <x:v>Q05</x:v>
      </x:c>
    </x:row>
    <x:row r="17" ht="42" customHeight="1">
      <x:c r="A17" s="11" t="str">
        <x:v>R12</x:v>
      </x:c>
      <x:c r="B17" s="11" t="str">
        <x:v>自动化</x:v>
      </x:c>
      <x:c r="C17" s="11" t="str">
        <x:v>构建或必要检查失败时停止发布，保留当前可用版本。</x:v>
      </x:c>
      <x:c r="D17" s="11" t="str">
        <x:v>提案</x:v>
      </x:c>
      <x:c r="E17" s="12" t="str">
        <x:v>建议</x:v>
      </x:c>
      <x:c r="F17" s="12" t="str">
        <x:v>草案</x:v>
      </x:c>
      <x:c r="G17" s="11" t="str">
        <x:v>Q05</x:v>
      </x:c>
    </x:row>
    <x:row r="18" ht="42" customHeight="1">
      <x:c r="A18" s="10" t="str">
        <x:v>R13</x:v>
      </x:c>
      <x:c r="B18" s="10" t="str">
        <x:v>自动化</x:v>
      </x:c>
      <x:c r="C18" s="10" t="str">
        <x:v>为每次发布保留提交、构建编号、产物与部署记录的对应关系。</x:v>
      </x:c>
      <x:c r="D18" s="10" t="str">
        <x:v>提案</x:v>
      </x:c>
      <x:c r="E18" s="12" t="str">
        <x:v>建议</x:v>
      </x:c>
      <x:c r="F18" s="12" t="str">
        <x:v>草案</x:v>
      </x:c>
      <x:c r="G18" s="10" t="str">
        <x:v>Q09</x:v>
      </x:c>
    </x:row>
    <x:row r="19" ht="42" customHeight="1">
      <x:c r="A19" s="11" t="str">
        <x:v>R14</x:v>
      </x:c>
      <x:c r="B19" s="11" t="str">
        <x:v>安全</x:v>
      </x:c>
      <x:c r="C19" s="11" t="str">
        <x:v>源码留在私有仓库；公开资料与发布产物不得包含凭据。</x:v>
      </x:c>
      <x:c r="D19" s="11" t="str">
        <x:v>S01</x:v>
      </x:c>
      <x:c r="E19" s="12" t="str">
        <x:v>必须</x:v>
      </x:c>
      <x:c r="F19" s="12" t="str">
        <x:v>草案</x:v>
      </x:c>
      <x:c r="G19" s="11" t="str">
        <x:v>—</x:v>
      </x:c>
    </x:row>
    <x:row r="20" ht="42" customHeight="1">
      <x:c r="A20" s="10" t="str">
        <x:v>R15</x:v>
      </x:c>
      <x:c r="B20" s="10" t="str">
        <x:v>安全</x:v>
      </x:c>
      <x:c r="C20" s="10" t="str">
        <x:v>明确 dev 的访问对象与访问限制，避免影响现有生产网站。</x:v>
      </x:c>
      <x:c r="D20" s="10" t="str">
        <x:v>S01；提案</x:v>
      </x:c>
      <x:c r="E20" s="12" t="str">
        <x:v>必须</x:v>
      </x:c>
      <x:c r="F20" s="12" t="str">
        <x:v>草案</x:v>
      </x:c>
      <x:c r="G20" s="10" t="str">
        <x:v>Q01</x:v>
      </x:c>
    </x:row>
    <x:row r="21" ht="42" customHeight="1">
      <x:c r="A21" s="11" t="str">
        <x:v>R16</x:v>
      </x:c>
      <x:c r="B21" s="11" t="str">
        <x:v>安全</x:v>
      </x:c>
      <x:c r="C21" s="11" t="str">
        <x:v>网站使用 HTTPS，部署权限仅覆盖本项目必要资源。</x:v>
      </x:c>
      <x:c r="D21" s="11" t="str">
        <x:v>提案</x:v>
      </x:c>
      <x:c r="E21" s="12" t="str">
        <x:v>建议</x:v>
      </x:c>
      <x:c r="F21" s="12" t="str">
        <x:v>草案</x:v>
      </x:c>
      <x:c r="G21" s="11" t="str">
        <x:v>Q01</x:v>
      </x:c>
    </x:row>
    <x:row r="22" ht="42" customHeight="1">
      <x:c r="A22" s="10" t="str">
        <x:v>R17</x:v>
      </x:c>
      <x:c r="B22" s="10" t="str">
        <x:v>非功能</x:v>
      </x:c>
      <x:c r="C22" s="10" t="str">
        <x:v>约定浏览器与屏幕范围，主要页面无明显布局或操作问题。</x:v>
      </x:c>
      <x:c r="D22" s="10" t="str">
        <x:v>提案</x:v>
      </x:c>
      <x:c r="E22" s="12" t="str">
        <x:v>建议</x:v>
      </x:c>
      <x:c r="F22" s="12" t="str">
        <x:v>草案</x:v>
      </x:c>
      <x:c r="G22" s="10" t="str">
        <x:v>Q03</x:v>
      </x:c>
    </x:row>
    <x:row r="23" ht="42" customHeight="1">
      <x:c r="A23" s="11" t="str">
        <x:v>R18</x:v>
      </x:c>
      <x:c r="B23" s="11" t="str">
        <x:v>非功能</x:v>
      </x:c>
      <x:c r="C23" s="11" t="str">
        <x:v>根据访问量约定性能与容量目标，并按同一条件验证。</x:v>
      </x:c>
      <x:c r="D23" s="11" t="str">
        <x:v>待确认</x:v>
      </x:c>
      <x:c r="E23" s="12" t="str">
        <x:v>待定</x:v>
      </x:c>
      <x:c r="F23" s="12" t="str">
        <x:v>草案</x:v>
      </x:c>
      <x:c r="G23" s="11" t="str">
        <x:v>Q06</x:v>
      </x:c>
    </x:row>
    <x:row r="24" ht="42" customHeight="1">
      <x:c r="A24" s="10" t="str">
        <x:v>R19</x:v>
      </x:c>
      <x:c r="B24" s="10" t="str">
        <x:v>非功能</x:v>
      </x:c>
      <x:c r="C24" s="10" t="str">
        <x:v>约定月度费用上限、告警和资源清理规则。</x:v>
      </x:c>
      <x:c r="D24" s="10" t="str">
        <x:v>S01；待确认</x:v>
      </x:c>
      <x:c r="E24" s="12" t="str">
        <x:v>必须</x:v>
      </x:c>
      <x:c r="F24" s="12" t="str">
        <x:v>草案</x:v>
      </x:c>
      <x:c r="G24" s="10" t="str">
        <x:v>Q07</x:v>
      </x:c>
    </x:row>
    <x:row r="25" ht="42" customHeight="1">
      <x:c r="A25" s="11" t="str">
        <x:v>R20</x:v>
      </x:c>
      <x:c r="B25" s="11" t="str">
        <x:v>运维</x:v>
      </x:c>
      <x:c r="C25" s="11" t="str">
        <x:v>约定可用性、故障通知和日志保留要求。</x:v>
      </x:c>
      <x:c r="D25" s="11" t="str">
        <x:v>待确认</x:v>
      </x:c>
      <x:c r="E25" s="12" t="str">
        <x:v>待定</x:v>
      </x:c>
      <x:c r="F25" s="12" t="str">
        <x:v>草案</x:v>
      </x:c>
      <x:c r="G25" s="11" t="str">
        <x:v>Q08,Q09</x:v>
      </x:c>
    </x:row>
    <x:row r="26" ht="42" customHeight="1">
      <x:c r="A26" s="10" t="str">
        <x:v>R21</x:v>
      </x:c>
      <x:c r="B26" s="10" t="str">
        <x:v>迁移</x:v>
      </x:c>
      <x:c r="C26" s="10" t="str">
        <x:v>保留必要版本与数据，演练回退到上次成功发布。</x:v>
      </x:c>
      <x:c r="D26" s="10" t="str">
        <x:v>S01；提案</x:v>
      </x:c>
      <x:c r="E26" s="12" t="str">
        <x:v>必须</x:v>
      </x:c>
      <x:c r="F26" s="12" t="str">
        <x:v>草案</x:v>
      </x:c>
      <x:c r="G26" s="10" t="str">
        <x:v>Q08,Q10</x:v>
      </x:c>
    </x:row>
    <x:row r="27" ht="42" customHeight="1">
      <x:c r="A27" s="11" t="str">
        <x:v>R22</x:v>
      </x:c>
      <x:c r="B27" s="11" t="str">
        <x:v>迁移</x:v>
      </x:c>
      <x:c r="C27" s="11" t="str">
        <x:v>正式迁移前确认域名权限、切换窗口、回退条件与验收负责人。</x:v>
      </x:c>
      <x:c r="D27" s="11" t="str">
        <x:v>S01；提案</x:v>
      </x:c>
      <x:c r="E27" s="12" t="str">
        <x:v>必须</x:v>
      </x:c>
      <x:c r="F27" s="12" t="str">
        <x:v>草案</x:v>
      </x:c>
      <x:c r="G27" s="11" t="str">
        <x:v>Q02,Q10</x:v>
      </x:c>
    </x:row>
    <x:row r="28" ht="42" customHeight="1">
      <x:c r="A28" s="10" t="str">
        <x:v>R23</x:v>
      </x:c>
      <x:c r="B28" s="10" t="str">
        <x:v>学习</x:v>
      </x:c>
      <x:c r="C28" s="10" t="str">
        <x:v>第一轮用 AWS 控制台构建，操作前解释目的、参数与验证方式。</x:v>
      </x:c>
      <x:c r="D28" s="10" t="str">
        <x:v>S01</x:v>
      </x:c>
      <x:c r="E28" s="12" t="str">
        <x:v>必须</x:v>
      </x:c>
      <x:c r="F28" s="12" t="str">
        <x:v>草案</x:v>
      </x:c>
      <x:c r="G28" s="10" t="str">
        <x:v>—</x:v>
      </x:c>
    </x:row>
    <x:row r="29" ht="42" customHeight="1">
      <x:c r="A29" s="11" t="str">
        <x:v>R24</x:v>
      </x:c>
      <x:c r="B29" s="11" t="str">
        <x:v>学习</x:v>
      </x:c>
      <x:c r="C29" s="11" t="str">
        <x:v>保存第一轮证据和必要数据后清理专用资源，再以 CloudFormation 重建复测。</x:v>
      </x:c>
      <x:c r="D29" s="11" t="str">
        <x:v>S01</x:v>
      </x:c>
      <x:c r="E29" s="12" t="str">
        <x:v>必须</x:v>
      </x:c>
      <x:c r="F29" s="12" t="str">
        <x:v>草案</x:v>
      </x:c>
      <x:c r="G29" s="11" t="str">
        <x:v>Q07,Q08</x:v>
      </x:c>
    </x:row>
    <x:row r="30" ht="42" customHeight="1">
      <x:c r="A30" s="10" t="str">
        <x:v>R25</x:v>
      </x:c>
      <x:c r="B30" s="10" t="str">
        <x:v>范围</x:v>
      </x:c>
      <x:c r="C30" s="10" t="str">
        <x:v>容器和 Kubernetes 作为可行性待评估扩展，不作为生产必选条件。</x:v>
      </x:c>
      <x:c r="D30" s="10" t="str">
        <x:v>S01</x:v>
      </x:c>
      <x:c r="E30" s="12" t="str">
        <x:v>必须</x:v>
      </x:c>
      <x:c r="F30" s="12" t="str">
        <x:v>草案</x:v>
      </x:c>
      <x:c r="G30" s="10" t="str">
        <x:v>—</x:v>
      </x:c>
    </x:row>
    <x:row r="31" ht="42" customHeight="1">
      <x:c r="A31" s="11" t="str">
        <x:v>R26</x:v>
      </x:c>
      <x:c r="B31" s="11" t="str">
        <x:v>管理</x:v>
      </x:c>
      <x:c r="C31" s="11" t="str">
        <x:v>按阶段保留要件、设计、测试与变更记录，并维护中日双语配套说明。</x:v>
      </x:c>
      <x:c r="D31" s="11" t="str">
        <x:v>S01</x:v>
      </x:c>
      <x:c r="E31" s="12" t="str">
        <x:v>必须</x:v>
      </x:c>
      <x:c r="F31" s="12" t="str">
        <x:v>草案</x:v>
      </x:c>
      <x:c r="G31" s="11" t="str">
        <x:v>Q11</x:v>
      </x:c>
    </x:row>
  </x:sheetData>
  <x:conditionalFormatting sqref="F6:F31">
    <x:cfRule type="containsText" dxfId="0" priority="1" operator="containsText" text="保留"/>
  </x:conditionalFormatting>
  <x:dataValidations count="2">
    <x:dataValidation type="list" sqref="E6:E31">
      <x:formula1>"必须,建议,待定"</x:formula1>
    </x:dataValidation>
    <x:dataValidation type="list" sqref="F6:F31">
      <x:formula1>"草案,已确认,保留,取消"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45b1242a0d454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1" hidden="0" customWidth="1"/>
    <x:col min="2" max="2" width="34" hidden="0" customWidth="1"/>
    <x:col min="3" max="3" width="76" hidden="0" customWidth="1"/>
    <x:col min="4" max="4" width="30" hidden="0" customWidth="1"/>
    <x:col min="5" max="5" width="20" hidden="0" customWidth="1"/>
    <x:col min="6" max="6" width="18" hidden="0" customWidth="1"/>
    <x:col min="7" max="7" width="3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要件与验收条件</x:v>
      </x:c>
      <x:c r="B2" s="2"/>
      <x:c r="C2" s="2"/>
      <x:c r="D2" s="2"/>
      <x:c r="E2" s="2"/>
      <x:c r="F2" s="2"/>
      <x:c r="G2" s="2"/>
    </x:row>
    <x:row r="3">
      <x:c r="A3" s="4" t="str">
        <x:v>此表为未来验收定义；本次未执行 AWS 验收</x:v>
      </x:c>
      <x:c r="B3" s="2"/>
      <x:c r="C3" s="2"/>
      <x:c r="D3" s="2"/>
      <x:c r="E3" s="2"/>
      <x:c r="F3" s="2"/>
      <x:c r="G3" s="2"/>
    </x:row>
    <x:row r="4">
      <x:c r="A4" s="2"/>
      <x:c r="B4" s="2"/>
      <x:c r="C4" s="2"/>
      <x:c r="D4" s="2"/>
      <x:c r="E4" s="2"/>
      <x:c r="F4" s="2"/>
      <x:c r="G4" s="2"/>
    </x:row>
    <x:row r="5" ht="38" customHeight="1">
      <x:c r="A5" s="8" t="str">
        <x:v>验收ID／要件ID</x:v>
      </x:c>
      <x:c r="B5" s="8" t="str">
        <x:v>前提</x:v>
      </x:c>
      <x:c r="C5" s="8" t="str">
        <x:v>验收条件与方法</x:v>
      </x:c>
      <x:c r="D5" s="8" t="str">
        <x:v>应保存证据</x:v>
      </x:c>
      <x:c r="E5" s="8" t="str">
        <x:v>适用轮次</x:v>
      </x:c>
      <x:c r="F5" s="8" t="str">
        <x:v>执行结果</x:v>
      </x:c>
      <x:c r="G5" s="8" t="str">
        <x:v>证据位置／备注</x:v>
      </x:c>
    </x:row>
    <x:row r="6" ht="42" customHeight="1">
      <x:c r="A6" s="10" t="str">
        <x:v>A01 / R01</x:v>
      </x:c>
      <x:c r="B6" s="10" t="str">
        <x:v>已验证产物、dev 环境</x:v>
      </x:c>
      <x:c r="C6" s="10" t="str">
        <x:v>部署已验证的产物，dev URL 可访问；正式迁移另行评审。</x:v>
      </x:c>
      <x:c r="D6" s="10" t="str">
        <x:v>访问记录、资源清单</x:v>
      </x:c>
      <x:c r="E6" s="10" t="str">
        <x:v>dev／正式</x:v>
      </x:c>
      <x:c r="F6" s="12" t="str">
        <x:v>未实施</x:v>
      </x:c>
      <x:c r="G6" s="12" t="str">
        <x:v>待执行后填写</x:v>
      </x:c>
    </x:row>
    <x:row r="7" ht="42" customHeight="1">
      <x:c r="A7" s="11" t="str">
        <x:v>A02 / R02</x:v>
      </x:c>
      <x:c r="B7" s="11" t="str">
        <x:v>页面映射已确认</x:v>
      </x:c>
      <x:c r="C7" s="11" t="str">
        <x:v>50 个基线路径逐项有迁移处置；48 个内容页显示正常，2 个错误页单独检查。</x:v>
      </x:c>
      <x:c r="D7" s="11" t="str">
        <x:v>页面核对表、截图</x:v>
      </x:c>
      <x:c r="E7" s="11" t="str">
        <x:v>两轮共用</x:v>
      </x:c>
      <x:c r="F7" s="12" t="str">
        <x:v>未实施</x:v>
      </x:c>
      <x:c r="G7" s="12" t="str">
        <x:v>待执行后填写</x:v>
      </x:c>
    </x:row>
    <x:row r="8" ht="42" customHeight="1">
      <x:c r="A8" s="10" t="str">
        <x:v>A03 / R03</x:v>
      </x:c>
      <x:c r="B8" s="10" t="str">
        <x:v>浏览器矩阵已确定</x:v>
      </x:c>
      <x:c r="C8" s="10" t="str">
        <x:v>英文与中文首页、教程、图库切换后语言及路径正确；无丢失页面。</x:v>
      </x:c>
      <x:c r="D8" s="10" t="str">
        <x:v>切换记录</x:v>
      </x:c>
      <x:c r="E8" s="10" t="str">
        <x:v>两轮共用</x:v>
      </x:c>
      <x:c r="F8" s="12" t="str">
        <x:v>未实施</x:v>
      </x:c>
      <x:c r="G8" s="12" t="str">
        <x:v>待执行后填写</x:v>
      </x:c>
    </x:row>
    <x:row r="9" ht="42" customHeight="1">
      <x:c r="A9" s="11" t="str">
        <x:v>A04 / R04</x:v>
      </x:c>
      <x:c r="B9" s="11" t="str">
        <x:v>dev 可访问</x:v>
      </x:c>
      <x:c r="C9" s="11" t="str">
        <x:v>首页主要区块完整；下载和页脚链接目标与基线相符。</x:v>
      </x:c>
      <x:c r="D9" s="11" t="str">
        <x:v>截图、链接清单</x:v>
      </x:c>
      <x:c r="E9" s="11" t="str">
        <x:v>两轮共用</x:v>
      </x:c>
      <x:c r="F9" s="12" t="str">
        <x:v>未实施</x:v>
      </x:c>
      <x:c r="G9" s="12" t="str">
        <x:v>待执行后填写</x:v>
      </x:c>
    </x:row>
    <x:row r="10" ht="42" customHeight="1">
      <x:c r="A10" s="10" t="str">
        <x:v>A05 / R05</x:v>
      </x:c>
      <x:c r="B10" s="10" t="str">
        <x:v>线上交互基线补查完成</x:v>
      </x:c>
      <x:c r="C10" s="10" t="str">
        <x:v>逐页检查文字、图片和导航；图库图片与已有交互按成品抽查。</x:v>
      </x:c>
      <x:c r="D10" s="10" t="str">
        <x:v>逐页记录、操作截图</x:v>
      </x:c>
      <x:c r="E10" s="10" t="str">
        <x:v>两轮共用</x:v>
      </x:c>
      <x:c r="F10" s="12" t="str">
        <x:v>未实施</x:v>
      </x:c>
      <x:c r="G10" s="12" t="str">
        <x:v>待执行后填写</x:v>
      </x:c>
    </x:row>
    <x:row r="11" ht="42" customHeight="1">
      <x:c r="A11" s="11" t="str">
        <x:v>A06 / R06</x:v>
      </x:c>
      <x:c r="B11" s="11" t="str">
        <x:v>域名与路径已决定</x:v>
      </x:c>
      <x:c r="C11" s="11" t="str">
        <x:v>直接打开中英深层页面并刷新成功；CSS、JS、图片请求无迁移引入的 404。</x:v>
      </x:c>
      <x:c r="D11" s="11" t="str">
        <x:v>网络请求、页面截图</x:v>
      </x:c>
      <x:c r="E11" s="11" t="str">
        <x:v>两轮共用</x:v>
      </x:c>
      <x:c r="F11" s="12" t="str">
        <x:v>未实施</x:v>
      </x:c>
      <x:c r="G11" s="12" t="str">
        <x:v>待执行后填写</x:v>
      </x:c>
    </x:row>
    <x:row r="12" ht="42" customHeight="1">
      <x:c r="A12" s="10" t="str">
        <x:v>A07 / R07</x:v>
      </x:c>
      <x:c r="B12" s="10" t="str">
        <x:v>错误页规则已设计</x:v>
      </x:c>
      <x:c r="C12" s="10" t="str">
        <x:v>中英随机不存在路径返回 404，显示错误页且可返回首页。</x:v>
      </x:c>
      <x:c r="D12" s="10" t="str">
        <x:v>状态码及截图</x:v>
      </x:c>
      <x:c r="E12" s="10" t="str">
        <x:v>两轮共用</x:v>
      </x:c>
      <x:c r="F12" s="12" t="str">
        <x:v>未实施</x:v>
      </x:c>
      <x:c r="G12" s="12" t="str">
        <x:v>待执行后填写</x:v>
      </x:c>
    </x:row>
    <x:row r="13" ht="42" customHeight="1">
      <x:c r="A13" s="11" t="str">
        <x:v>A08 / R08</x:v>
      </x:c>
      <x:c r="B13" s="11" t="str">
        <x:v>Q04 已决策</x:v>
      </x:c>
      <x:c r="C13" s="11" t="str">
        <x:v>解决清单和锁文件冲突；两次干净构建均成功；记录版本与差异原因。</x:v>
      </x:c>
      <x:c r="D13" s="11" t="str">
        <x:v>安装与构建日志、版本清单</x:v>
      </x:c>
      <x:c r="E13" s="11" t="str">
        <x:v>本地／AWS</x:v>
      </x:c>
      <x:c r="F13" s="12" t="str">
        <x:v>未实施</x:v>
      </x:c>
      <x:c r="G13" s="12" t="str">
        <x:v>待执行后填写</x:v>
      </x:c>
    </x:row>
    <x:row r="14" ht="42" customHeight="1">
      <x:c r="A14" s="10" t="str">
        <x:v>A09 / R09</x:v>
      </x:c>
      <x:c r="B14" s="10" t="str">
        <x:v>R08 完成</x:v>
      </x:c>
      <x:c r="C14" s="10" t="str">
        <x:v>构建输出含中英文 HTML、JS、CSS、图片；关键页面对照基线通过。</x:v>
      </x:c>
      <x:c r="D14" s="10" t="str">
        <x:v>产物清单、哈希、页面核对</x:v>
      </x:c>
      <x:c r="E14" s="10" t="str">
        <x:v>本地／AWS</x:v>
      </x:c>
      <x:c r="F14" s="12" t="str">
        <x:v>未实施</x:v>
      </x:c>
      <x:c r="G14" s="12" t="str">
        <x:v>待执行后填写</x:v>
      </x:c>
    </x:row>
    <x:row r="15" ht="42" customHeight="1">
      <x:c r="A15" s="11" t="str">
        <x:v>A10 / R10</x:v>
      </x:c>
      <x:c r="B15" s="11" t="str">
        <x:v>本地构建通过</x:v>
      </x:c>
      <x:c r="C15" s="11" t="str">
        <x:v>AWS 从指定提交完成安装与构建，保存日志和 build 产物。</x:v>
      </x:c>
      <x:c r="D15" s="11" t="str">
        <x:v>AWS 构建执行记录</x:v>
      </x:c>
      <x:c r="E15" s="11" t="str">
        <x:v>AWS</x:v>
      </x:c>
      <x:c r="F15" s="12" t="str">
        <x:v>未实施</x:v>
      </x:c>
      <x:c r="G15" s="12" t="str">
        <x:v>待执行后填写</x:v>
      </x:c>
    </x:row>
    <x:row r="16" ht="42" customHeight="1">
      <x:c r="A16" s="10" t="str">
        <x:v>A11 / R11</x:v>
      </x:c>
      <x:c r="B16" s="10" t="str">
        <x:v>分支、连接权限与流程已定</x:v>
      </x:c>
      <x:c r="C16" s="10" t="str">
        <x:v>指定分支提交触发流水线；目标 dev 版本可追溯至该提交。</x:v>
      </x:c>
      <x:c r="D16" s="10" t="str">
        <x:v>提交号、流水线、发布记录</x:v>
      </x:c>
      <x:c r="E16" s="10" t="str">
        <x:v>AWS</x:v>
      </x:c>
      <x:c r="F16" s="12" t="str">
        <x:v>未实施</x:v>
      </x:c>
      <x:c r="G16" s="12" t="str">
        <x:v>待执行后填写</x:v>
      </x:c>
    </x:row>
    <x:row r="17" ht="42" customHeight="1">
      <x:c r="A17" s="11" t="str">
        <x:v>A12 / R12</x:v>
      </x:c>
      <x:c r="B17" s="11" t="str">
        <x:v>隔离的失败测试提交</x:v>
      </x:c>
      <x:c r="C17" s="11" t="str">
        <x:v>使用演练提交制造构建失败；流水线失败且 dev 仍为上个成功版本。</x:v>
      </x:c>
      <x:c r="D17" s="11" t="str">
        <x:v>失败日志、前后版本证明</x:v>
      </x:c>
      <x:c r="E17" s="11" t="str">
        <x:v>AWS</x:v>
      </x:c>
      <x:c r="F17" s="12" t="str">
        <x:v>未实施</x:v>
      </x:c>
      <x:c r="G17" s="12" t="str">
        <x:v>待执行后填写</x:v>
      </x:c>
    </x:row>
    <x:row r="18" ht="42" customHeight="1">
      <x:c r="A18" s="10" t="str">
        <x:v>A13 / R13</x:v>
      </x:c>
      <x:c r="B18" s="10" t="str">
        <x:v>记录保留期已决定</x:v>
      </x:c>
      <x:c r="C18" s="10" t="str">
        <x:v>从 dev 已部署版本可以查到对应源码提交和构建日志。</x:v>
      </x:c>
      <x:c r="D18" s="10" t="str">
        <x:v>发布台账</x:v>
      </x:c>
      <x:c r="E18" s="10" t="str">
        <x:v>AWS</x:v>
      </x:c>
      <x:c r="F18" s="12" t="str">
        <x:v>未实施</x:v>
      </x:c>
      <x:c r="G18" s="12" t="str">
        <x:v>待执行后填写</x:v>
      </x:c>
    </x:row>
    <x:row r="19" ht="42" customHeight="1">
      <x:c r="A19" s="11" t="str">
        <x:v>A14 / R14</x:v>
      </x:c>
      <x:c r="B19" s="11" t="str">
        <x:v>扫描范围与排除规则明确</x:v>
      </x:c>
      <x:c r="C19" s="11" t="str">
        <x:v>提交与发布前检查文件清单；不含源码压缩包、密钥及认证信息。</x:v>
      </x:c>
      <x:c r="D19" s="11" t="str">
        <x:v>检查结果、公开提交清单</x:v>
      </x:c>
      <x:c r="E19" s="11" t="str">
        <x:v>全阶段</x:v>
      </x:c>
      <x:c r="F19" s="12" t="str">
        <x:v>未实施</x:v>
      </x:c>
      <x:c r="G19" s="12" t="str">
        <x:v>待执行后填写</x:v>
      </x:c>
    </x:row>
    <x:row r="20" ht="42" customHeight="1">
      <x:c r="A20" s="10" t="str">
        <x:v>A15 / R15</x:v>
      </x:c>
      <x:c r="B20" s="10" t="str">
        <x:v>Q01 已决策</x:v>
      </x:c>
      <x:c r="C20" s="10" t="str">
        <x:v>授权对象可访问；按选定策略验证拒绝访问；原站地址仍正常。</x:v>
      </x:c>
      <x:c r="D20" s="10" t="str">
        <x:v>访问测试、隔离记录</x:v>
      </x:c>
      <x:c r="E20" s="10" t="str">
        <x:v>dev</x:v>
      </x:c>
      <x:c r="F20" s="12" t="str">
        <x:v>未实施</x:v>
      </x:c>
      <x:c r="G20" s="12" t="str">
        <x:v>待执行后填写</x:v>
      </x:c>
    </x:row>
    <x:row r="21" ht="42" customHeight="1">
      <x:c r="A21" s="11" t="str">
        <x:v>A16 / R16</x:v>
      </x:c>
      <x:c r="B21" s="11" t="str">
        <x:v>目标域名、权限边界已设计</x:v>
      </x:c>
      <x:c r="C21" s="11" t="str">
        <x:v>证书匹配目标域名；HTTPS 可用；角色权限经配置审查。</x:v>
      </x:c>
      <x:c r="D21" s="11" t="str">
        <x:v>TLS 检查、权限审查</x:v>
      </x:c>
      <x:c r="E21" s="11" t="str">
        <x:v>两轮共用</x:v>
      </x:c>
      <x:c r="F21" s="12" t="str">
        <x:v>未实施</x:v>
      </x:c>
      <x:c r="G21" s="12" t="str">
        <x:v>待执行后填写</x:v>
      </x:c>
    </x:row>
    <x:row r="22" ht="42" customHeight="1">
      <x:c r="A22" s="10" t="str">
        <x:v>A17 / R17</x:v>
      </x:c>
      <x:c r="B22" s="10" t="str">
        <x:v>Q03 已决策</x:v>
      </x:c>
      <x:c r="C22" s="10" t="str">
        <x:v>在已确认浏览器及屏幕矩阵执行首页、教程和图库检查并通过。</x:v>
      </x:c>
      <x:c r="D22" s="10" t="str">
        <x:v>矩阵及截图</x:v>
      </x:c>
      <x:c r="E22" s="10" t="str">
        <x:v>两轮共用</x:v>
      </x:c>
      <x:c r="F22" s="12" t="str">
        <x:v>未实施</x:v>
      </x:c>
      <x:c r="G22" s="12" t="str">
        <x:v>待执行后填写</x:v>
      </x:c>
    </x:row>
    <x:row r="23" ht="42" customHeight="1">
      <x:c r="A23" s="11" t="str">
        <x:v>A18 / R18</x:v>
      </x:c>
      <x:c r="B23" s="11" t="str">
        <x:v>Q06 已决策</x:v>
      </x:c>
      <x:c r="C23" s="11" t="str">
        <x:v>按约定地域、网络、并发及指标阈值测量并达标；未定阈值前不判通过。</x:v>
      </x:c>
      <x:c r="D23" s="11" t="str">
        <x:v>性能报告</x:v>
      </x:c>
      <x:c r="E23" s="11" t="str">
        <x:v>dev／正式</x:v>
      </x:c>
      <x:c r="F23" s="12" t="str">
        <x:v>未实施</x:v>
      </x:c>
      <x:c r="G23" s="12" t="str">
        <x:v>待执行后填写</x:v>
      </x:c>
    </x:row>
    <x:row r="24" ht="42" customHeight="1">
      <x:c r="A24" s="10" t="str">
        <x:v>A19 / R19</x:v>
      </x:c>
      <x:c r="B24" s="10" t="str">
        <x:v>Q07 已决策</x:v>
      </x:c>
      <x:c r="C24" s="10" t="str">
        <x:v>费用估算覆盖构建、存储、流量、日志等；阈值告警与清理清单已验证。</x:v>
      </x:c>
      <x:c r="D24" s="10" t="str">
        <x:v>估算表、告警记录</x:v>
      </x:c>
      <x:c r="E24" s="10" t="str">
        <x:v>每轮</x:v>
      </x:c>
      <x:c r="F24" s="12" t="str">
        <x:v>未实施</x:v>
      </x:c>
      <x:c r="G24" s="12" t="str">
        <x:v>待执行后填写</x:v>
      </x:c>
    </x:row>
    <x:row r="25" ht="42" customHeight="1">
      <x:c r="A25" s="11" t="str">
        <x:v>A20 / R20</x:v>
      </x:c>
      <x:c r="B25" s="11" t="str">
        <x:v>Q08、Q09 已决策</x:v>
      </x:c>
      <x:c r="C25" s="11" t="str">
        <x:v>按约定监控场景触发通知，接收人和日志保留设置符合决策。</x:v>
      </x:c>
      <x:c r="D25" s="11" t="str">
        <x:v>监控测试、保留配置</x:v>
      </x:c>
      <x:c r="E25" s="11" t="str">
        <x:v>dev／正式</x:v>
      </x:c>
      <x:c r="F25" s="12" t="str">
        <x:v>未实施</x:v>
      </x:c>
      <x:c r="G25" s="12" t="str">
        <x:v>待执行后填写</x:v>
      </x:c>
    </x:row>
    <x:row r="26" ht="42" customHeight="1">
      <x:c r="A26" s="10" t="str">
        <x:v>A21 / R21</x:v>
      </x:c>
      <x:c r="B26" s="10" t="str">
        <x:v>恢复目标与保留策略已定</x:v>
      </x:c>
      <x:c r="C26" s="10" t="str">
        <x:v>失败场景下恢复上次成功版本；满足约定恢复时间与数据恢复点。</x:v>
      </x:c>
      <x:c r="D26" s="10" t="str">
        <x:v>回退记录、版本证据</x:v>
      </x:c>
      <x:c r="E26" s="10" t="str">
        <x:v>两轮共用</x:v>
      </x:c>
      <x:c r="F26" s="12" t="str">
        <x:v>未实施</x:v>
      </x:c>
      <x:c r="G26" s="12" t="str">
        <x:v>待执行后填写</x:v>
      </x:c>
    </x:row>
    <x:row r="27" ht="42" customHeight="1">
      <x:c r="A27" s="11" t="str">
        <x:v>A22 / R22</x:v>
      </x:c>
      <x:c r="B27" s="11" t="str">
        <x:v>dev 验收完成</x:v>
      </x:c>
      <x:c r="C27" s="11" t="str">
        <x:v>正式迁移计划评审通过；切换与回退步骤演练完成，负责人明确。</x:v>
      </x:c>
      <x:c r="D27" s="11" t="str">
        <x:v>迁移计划、评审与演练记录</x:v>
      </x:c>
      <x:c r="E27" s="11" t="str">
        <x:v>正式前</x:v>
      </x:c>
      <x:c r="F27" s="12" t="str">
        <x:v>未实施</x:v>
      </x:c>
      <x:c r="G27" s="12" t="str">
        <x:v>待执行后填写</x:v>
      </x:c>
    </x:row>
    <x:row r="28" ht="42" customHeight="1">
      <x:c r="A28" s="10" t="str">
        <x:v>A23 / R23</x:v>
      </x:c>
      <x:c r="B28" s="10" t="str">
        <x:v>设计完成</x:v>
      </x:c>
      <x:c r="C28" s="10" t="str">
        <x:v>控制台配置和实际测试结果有记录；计划与实绩可区分。</x:v>
      </x:c>
      <x:c r="D28" s="10" t="str">
        <x:v>配置截图、操作说明</x:v>
      </x:c>
      <x:c r="E28" s="10" t="str">
        <x:v>第一轮</x:v>
      </x:c>
      <x:c r="F28" s="12" t="str">
        <x:v>未实施</x:v>
      </x:c>
      <x:c r="G28" s="12" t="str">
        <x:v>待执行后填写</x:v>
      </x:c>
    </x:row>
    <x:row r="29" ht="42" customHeight="1">
      <x:c r="A29" s="11" t="str">
        <x:v>A24 / R24</x:v>
      </x:c>
      <x:c r="B29" s="11" t="str">
        <x:v>证据、必要数据已保存</x:v>
      </x:c>
      <x:c r="C29" s="11" t="str">
        <x:v>清理范围核对完成；第二轮成功重建，复用业务验收条件并记录差异。</x:v>
      </x:c>
      <x:c r="D29" s="11" t="str">
        <x:v>清理及重建记录、复测记录</x:v>
      </x:c>
      <x:c r="E29" s="11" t="str">
        <x:v>第二轮</x:v>
      </x:c>
      <x:c r="F29" s="12" t="str">
        <x:v>未实施</x:v>
      </x:c>
      <x:c r="G29" s="12" t="str">
        <x:v>待执行后填写</x:v>
      </x:c>
    </x:row>
    <x:row r="30" ht="42" customHeight="1">
      <x:c r="A30" s="10" t="str">
        <x:v>A25 / R25</x:v>
      </x:c>
      <x:c r="B30" s="10" t="str">
        <x:v>两轮经验作为输入</x:v>
      </x:c>
      <x:c r="C30" s="10" t="str">
        <x:v>实施前有架构变化、费用及清理评估；无扩展评审时不计入本轮交付。</x:v>
      </x:c>
      <x:c r="D30" s="10" t="str">
        <x:v>扩展评估结论</x:v>
      </x:c>
      <x:c r="E30" s="10" t="str">
        <x:v>扩展</x:v>
      </x:c>
      <x:c r="F30" s="12" t="str">
        <x:v>未实施</x:v>
      </x:c>
      <x:c r="G30" s="12" t="str">
        <x:v>待执行后填写</x:v>
      </x:c>
    </x:row>
    <x:row r="31" ht="42" customHeight="1">
      <x:c r="A31" s="11" t="str">
        <x:v>A26 / R26</x:v>
      </x:c>
      <x:c r="B31" s="11" t="str">
        <x:v>评审责任已明确</x:v>
      </x:c>
      <x:c r="C31" s="11" t="str">
        <x:v>Excel 每次更新与 MD、变更记录一致；评审决定可追溯到要件编号。</x:v>
      </x:c>
      <x:c r="D31" s="11" t="str">
        <x:v>成果物、日报、Git 提交</x:v>
      </x:c>
      <x:c r="E31" s="11" t="str">
        <x:v>全阶段</x:v>
      </x:c>
      <x:c r="F31" s="12" t="str">
        <x:v>未实施</x:v>
      </x:c>
      <x:c r="G31" s="12" t="str">
        <x:v>待执行后填写</x:v>
      </x:c>
    </x:row>
  </x:sheetData>
  <x:dataValidations count="1">
    <x:dataValidation type="list" sqref="F6:F31">
      <x:formula1>"未实施,通过,失败,阻塞,不适用"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85904b176c423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64" hidden="0" customWidth="1"/>
    <x:col min="4" max="4" width="48" hidden="0" customWidth="1"/>
    <x:col min="5" max="5" width="27" hidden="0" customWidth="1"/>
    <x:col min="6" max="6" width="25" hidden="0" customWidth="1"/>
    <x:col min="7" max="7" width="23" hidden="0" customWidth="1"/>
    <x:col min="8" max="8" width="17" hidden="0" customWidth="1"/>
    <x:col min="9" max="9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3" t="str">
        <x:v>待确认事项与决策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4" t="str">
        <x:v>黄色区域供填写；建议时点不是已承诺日期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 ht="38" customHeight="1">
      <x:c r="A5" s="8" t="str">
        <x:v>课题ID</x:v>
      </x:c>
      <x:c r="B5" s="8" t="str">
        <x:v>主题</x:v>
      </x:c>
      <x:c r="C5" s="8" t="str">
        <x:v>待确认问题</x:v>
      </x:c>
      <x:c r="D5" s="8" t="str">
        <x:v>影响</x:v>
      </x:c>
      <x:c r="E5" s="8" t="str">
        <x:v>关联要件</x:v>
      </x:c>
      <x:c r="F5" s="8" t="str">
        <x:v>建议确认角色</x:v>
      </x:c>
      <x:c r="G5" s="8" t="str">
        <x:v>最迟阶段</x:v>
      </x:c>
      <x:c r="H5" s="8" t="str">
        <x:v>状态</x:v>
      </x:c>
      <x:c r="I5" s="8" t="str">
        <x:v>决定／依据／日期</x:v>
      </x:c>
    </x:row>
    <x:row r="6" ht="42" customHeight="1">
      <x:c r="A6" s="10" t="str">
        <x:v>Q01</x:v>
      </x:c>
      <x:c r="B6" s="10" t="str">
        <x:v>dev 使用范围</x:v>
      </x:c>
      <x:c r="C6" s="10" t="str">
        <x:v>公开还是限制访问？使用哪个 AWS 账户、区域及隔离边界？</x:v>
      </x:c>
      <x:c r="D6" s="10" t="str">
        <x:v>影响安全、域名、费用和资源设计</x:v>
      </x:c>
      <x:c r="E6" s="10" t="str">
        <x:v>R01,R15,R16</x:v>
      </x:c>
      <x:c r="F6" s="10" t="str">
        <x:v>用户／待确认</x:v>
      </x:c>
      <x:c r="G6" s="10" t="str">
        <x:v>基本设计前</x:v>
      </x:c>
      <x:c r="H6" s="12" t="str">
        <x:v>待确认</x:v>
      </x:c>
      <x:c r="I6" s="12" t="str"/>
    </x:row>
    <x:row r="7" ht="42" customHeight="1">
      <x:c r="A7" s="11" t="str">
        <x:v>Q02</x:v>
      </x:c>
      <x:c r="B7" s="11" t="str">
        <x:v>域名与路径</x:v>
      </x:c>
      <x:c r="C7" s="11" t="str">
        <x:v>保留 /photoncam/ 还是改根路径？域名控制权及其他站点边界？</x:v>
      </x:c>
      <x:c r="D7" s="11" t="str">
        <x:v>影响链接、证书、路由及正式切换</x:v>
      </x:c>
      <x:c r="E7" s="11" t="str">
        <x:v>R02,R06,R07,R22</x:v>
      </x:c>
      <x:c r="F7" s="11" t="str">
        <x:v>用户／待确认</x:v>
      </x:c>
      <x:c r="G7" s="11" t="str">
        <x:v>基本设计前</x:v>
      </x:c>
      <x:c r="H7" s="12" t="str">
        <x:v>待确认</x:v>
      </x:c>
      <x:c r="I7" s="12" t="str"/>
    </x:row>
    <x:row r="8" ht="42" customHeight="1">
      <x:c r="A8" s="10" t="str">
        <x:v>Q03</x:v>
      </x:c>
      <x:c r="B8" s="10" t="str">
        <x:v>使用体验</x:v>
      </x:c>
      <x:c r="C8" s="10" t="str">
        <x:v>需支持哪些浏览器、设备和语言切换行为？</x:v>
      </x:c>
      <x:c r="D8" s="10" t="str">
        <x:v>形成显示、操作验收矩阵</x:v>
      </x:c>
      <x:c r="E8" s="10" t="str">
        <x:v>R03,R05,R17</x:v>
      </x:c>
      <x:c r="F8" s="10" t="str">
        <x:v>用户／待确认</x:v>
      </x:c>
      <x:c r="G8" s="10" t="str">
        <x:v>要件评审前</x:v>
      </x:c>
      <x:c r="H8" s="12" t="str">
        <x:v>待确认</x:v>
      </x:c>
      <x:c r="I8" s="12" t="str"/>
    </x:row>
    <x:row r="9" ht="42" customHeight="1">
      <x:c r="A9" s="11" t="str">
        <x:v>Q04</x:v>
      </x:c>
      <x:c r="B9" s="11" t="str">
        <x:v>构建版本</x:v>
      </x:c>
      <x:c r="C9" s="11" t="str">
        <x:v>以哪一版依赖重建？能否取得原构建环境或说明？</x:v>
      </x:c>
      <x:c r="D9" s="11" t="str">
        <x:v>清单、锁文件、线上版本不同；需干净构建验证</x:v>
      </x:c>
      <x:c r="E9" s="11" t="str">
        <x:v>R08,R09,R10</x:v>
      </x:c>
      <x:c r="F9" s="11" t="str">
        <x:v>用户与实施方／待确认</x:v>
      </x:c>
      <x:c r="G9" s="11" t="str">
        <x:v>AWS 设计前</x:v>
      </x:c>
      <x:c r="H9" s="12" t="str">
        <x:v>待确认</x:v>
      </x:c>
      <x:c r="I9" s="12" t="str"/>
    </x:row>
    <x:row r="10" ht="42" customHeight="1">
      <x:c r="A10" s="10" t="str">
        <x:v>Q05</x:v>
      </x:c>
      <x:c r="B10" s="10" t="str">
        <x:v>自动部署规则</x:v>
      </x:c>
      <x:c r="C10" s="10" t="str">
        <x:v>触发分支、提交权限、dev 是否自动发布及失败处理？</x:v>
      </x:c>
      <x:c r="D10" s="10" t="str">
        <x:v>影响流水线及 GitHub 连接授权</x:v>
      </x:c>
      <x:c r="E10" s="10" t="str">
        <x:v>R11,R12</x:v>
      </x:c>
      <x:c r="F10" s="10" t="str">
        <x:v>用户／待确认</x:v>
      </x:c>
      <x:c r="G10" s="10" t="str">
        <x:v>基本设计前</x:v>
      </x:c>
      <x:c r="H10" s="12" t="str">
        <x:v>待确认</x:v>
      </x:c>
      <x:c r="I10" s="12" t="str"/>
    </x:row>
    <x:row r="11" ht="42" customHeight="1">
      <x:c r="A11" s="11" t="str">
        <x:v>Q06</x:v>
      </x:c>
      <x:c r="B11" s="11" t="str">
        <x:v>性能与规模</x:v>
      </x:c>
      <x:c r="C11" s="11" t="str">
        <x:v>主要访问地域、访问量、并发、性能指标及阈值？</x:v>
      </x:c>
      <x:c r="D11" s="11" t="str">
        <x:v>没有数字目标不能判定性能验收通过</x:v>
      </x:c>
      <x:c r="E11" s="11" t="str">
        <x:v>R18</x:v>
      </x:c>
      <x:c r="F11" s="11" t="str">
        <x:v>用户／待确认</x:v>
      </x:c>
      <x:c r="G11" s="11" t="str">
        <x:v>要件评审前</x:v>
      </x:c>
      <x:c r="H11" s="12" t="str">
        <x:v>待确认</x:v>
      </x:c>
      <x:c r="I11" s="12" t="str"/>
    </x:row>
    <x:row r="12" ht="42" customHeight="1">
      <x:c r="A12" s="10" t="str">
        <x:v>Q07</x:v>
      </x:c>
      <x:c r="B12" s="10" t="str">
        <x:v>费用</x:v>
      </x:c>
      <x:c r="C12" s="10" t="str">
        <x:v>dev 月度预算、币种、告警阈值与清理频率？</x:v>
      </x:c>
      <x:c r="D12" s="10" t="str">
        <x:v>预算包含构建、存储、流量、日志等</x:v>
      </x:c>
      <x:c r="E12" s="10" t="str">
        <x:v>R19,R24</x:v>
      </x:c>
      <x:c r="F12" s="10" t="str">
        <x:v>用户／待确认</x:v>
      </x:c>
      <x:c r="G12" s="10" t="str">
        <x:v>资源构建前</x:v>
      </x:c>
      <x:c r="H12" s="12" t="str">
        <x:v>待确认</x:v>
      </x:c>
      <x:c r="I12" s="12" t="str"/>
    </x:row>
    <x:row r="13" ht="42" customHeight="1">
      <x:c r="A13" s="11" t="str">
        <x:v>Q08</x:v>
      </x:c>
      <x:c r="B13" s="11" t="str">
        <x:v>恢复与可用性</x:v>
      </x:c>
      <x:c r="C13" s="11" t="str">
        <x:v>dev／正式的容许中断、恢复时间与恢复点要求？</x:v>
      </x:c>
      <x:c r="D13" s="11" t="str">
        <x:v>决定备份、回退与可用性方案</x:v>
      </x:c>
      <x:c r="E13" s="11" t="str">
        <x:v>R20,R21,R24</x:v>
      </x:c>
      <x:c r="F13" s="11" t="str">
        <x:v>用户／待确认</x:v>
      </x:c>
      <x:c r="G13" s="11" t="str">
        <x:v>基本设计前</x:v>
      </x:c>
      <x:c r="H13" s="12" t="str">
        <x:v>待确认</x:v>
      </x:c>
      <x:c r="I13" s="12" t="str"/>
    </x:row>
    <x:row r="14" ht="42" customHeight="1">
      <x:c r="A14" s="10" t="str">
        <x:v>Q09</x:v>
      </x:c>
      <x:c r="B14" s="10" t="str">
        <x:v>运维</x:v>
      </x:c>
      <x:c r="C14" s="10" t="str">
        <x:v>谁接收故障通知？日志与构建产物保留多久？</x:v>
      </x:c>
      <x:c r="D14" s="10" t="str">
        <x:v>影响监控、隐私及持续费用</x:v>
      </x:c>
      <x:c r="E14" s="10" t="str">
        <x:v>R13,R20</x:v>
      </x:c>
      <x:c r="F14" s="10" t="str">
        <x:v>用户／待确认</x:v>
      </x:c>
      <x:c r="G14" s="10" t="str">
        <x:v>基本设计前</x:v>
      </x:c>
      <x:c r="H14" s="12" t="str">
        <x:v>待确认</x:v>
      </x:c>
      <x:c r="I14" s="12" t="str"/>
    </x:row>
    <x:row r="15" ht="42" customHeight="1">
      <x:c r="A15" s="11" t="str">
        <x:v>Q10</x:v>
      </x:c>
      <x:c r="B15" s="11" t="str">
        <x:v>正式迁移依赖</x:v>
      </x:c>
      <x:c r="C15" s="11" t="str">
        <x:v>是否有后台、数据库、外部服务？谁批准切换窗口？</x:v>
      </x:c>
      <x:c r="D15" s="11" t="str">
        <x:v>静态 ZIP 无法证明整站依赖完整</x:v>
      </x:c>
      <x:c r="E15" s="11" t="str">
        <x:v>R21,R22</x:v>
      </x:c>
      <x:c r="F15" s="11" t="str">
        <x:v>用户与原开发者／待确认</x:v>
      </x:c>
      <x:c r="G15" s="11" t="str">
        <x:v>正式设计前</x:v>
      </x:c>
      <x:c r="H15" s="12" t="str">
        <x:v>待确认</x:v>
      </x:c>
      <x:c r="I15" s="12" t="str"/>
    </x:row>
    <x:row r="16" ht="42" customHeight="1">
      <x:c r="A16" s="10" t="str">
        <x:v>Q11</x:v>
      </x:c>
      <x:c r="B16" s="10" t="str">
        <x:v>责任与评审</x:v>
      </x:c>
      <x:c r="C16" s="10" t="str">
        <x:v>要件、技术验证、正式迁移分别由谁确认？</x:v>
      </x:c>
      <x:c r="D16" s="10" t="str">
        <x:v>避免无责任人的批准和交接</x:v>
      </x:c>
      <x:c r="E16" s="10" t="str">
        <x:v>R26</x:v>
      </x:c>
      <x:c r="F16" s="10" t="str">
        <x:v>用户／待确认</x:v>
      </x:c>
      <x:c r="G16" s="10" t="str">
        <x:v>要件评审前</x:v>
      </x:c>
      <x:c r="H16" s="12" t="str">
        <x:v>待确认</x:v>
      </x:c>
      <x:c r="I16" s="12" t="str"/>
    </x:row>
  </x:sheetData>
  <x:dataValidations count="1">
    <x:dataValidation type="list" sqref="H6:H16">
      <x:formula1>"待确认,处理中,已解决,延期"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f2fca7eead4de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24" hidden="0" customWidth="1"/>
    <x:col min="3" max="3" width="31" hidden="0" customWidth="1"/>
    <x:col min="4" max="4" width="37" hidden="0" customWidth="1"/>
    <x:col min="5" max="5" width="43" hidden="0" customWidth="1"/>
    <x:col min="6" max="6" width="38" hidden="0" customWidth="1"/>
    <x:col min="7" max="7" width="60" hidden="0" customWidth="1"/>
    <x:col min="8" max="8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阶段目的与交接</x:v>
      </x:c>
      <x:c r="B2" s="2"/>
      <x:c r="C2" s="2"/>
      <x:c r="D2" s="2"/>
      <x:c r="E2" s="2"/>
      <x:c r="F2" s="2"/>
      <x:c r="G2" s="2"/>
      <x:c r="H2" s="2"/>
    </x:row>
    <x:row r="3">
      <x:c r="A3" s="4" t="str">
        <x:v>瀑布流程允许因变更返回前序阶段；不自动判定评审通过</x:v>
      </x:c>
      <x:c r="B3" s="2"/>
      <x:c r="C3" s="2"/>
      <x:c r="D3" s="2"/>
      <x:c r="E3" s="2"/>
      <x:c r="F3" s="2"/>
      <x:c r="G3" s="2"/>
      <x:c r="H3" s="2"/>
    </x:row>
    <x:row r="4">
      <x:c r="A4" s="2"/>
      <x:c r="B4" s="2"/>
      <x:c r="C4" s="2"/>
      <x:c r="D4" s="2"/>
      <x:c r="E4" s="2"/>
      <x:c r="F4" s="2"/>
      <x:c r="G4" s="2"/>
      <x:c r="H4" s="2"/>
    </x:row>
    <x:row r="5" ht="38" customHeight="1">
      <x:c r="A5" s="8" t="str">
        <x:v>阶段ID</x:v>
      </x:c>
      <x:c r="B5" s="8" t="str">
        <x:v>阶段</x:v>
      </x:c>
      <x:c r="C5" s="8" t="str">
        <x:v>目的</x:v>
      </x:c>
      <x:c r="D5" s="8" t="str">
        <x:v>输入</x:v>
      </x:c>
      <x:c r="E5" s="8" t="str">
        <x:v>活动</x:v>
      </x:c>
      <x:c r="F5" s="8" t="str">
        <x:v>产物</x:v>
      </x:c>
      <x:c r="G5" s="8" t="str">
        <x:v>验收与交接条件</x:v>
      </x:c>
      <x:c r="H5" s="8" t="str">
        <x:v>评审状态</x:v>
      </x:c>
    </x:row>
    <x:row r="6" ht="42" customHeight="1">
      <x:c r="A6" s="10" t="str">
        <x:v>G01</x:v>
      </x:c>
      <x:c r="B6" s="10" t="str">
        <x:v>现状调查</x:v>
      </x:c>
      <x:c r="C6" s="10" t="str">
        <x:v>建立事实和差异基线</x:v>
      </x:c>
      <x:c r="D6" s="10" t="str">
        <x:v>源码、ZIP、线上地址</x:v>
      </x:c>
      <x:c r="E6" s="10" t="str">
        <x:v>检查构建方式与交叉核对</x:v>
      </x:c>
      <x:c r="F6" s="10" t="str">
        <x:v>调查说明、页面基线</x:v>
      </x:c>
      <x:c r="G6" s="10" t="str">
        <x:v>构建方式与产物已实证；版本差异有决策</x:v>
      </x:c>
      <x:c r="H6" s="12" t="str">
        <x:v>未评审</x:v>
      </x:c>
    </x:row>
    <x:row r="7" ht="42" customHeight="1">
      <x:c r="A7" s="11" t="str">
        <x:v>G02</x:v>
      </x:c>
      <x:c r="B7" s="11" t="str">
        <x:v>要件定义</x:v>
      </x:c>
      <x:c r="C7" s="11" t="str">
        <x:v>约定范围与验收条件</x:v>
      </x:c>
      <x:c r="D7" s="11" t="str">
        <x:v>调查结果、业务目标</x:v>
      </x:c>
      <x:c r="E7" s="11" t="str">
        <x:v>确认要件、阈值、角色和未决处理</x:v>
      </x:c>
      <x:c r="F7" s="11" t="str">
        <x:v>本 Excel、MD、决策记录</x:v>
      </x:c>
      <x:c r="G7" s="11" t="str">
        <x:v>必须要件明确；未决项有处理结论；记录确认人和日期</x:v>
      </x:c>
      <x:c r="H7" s="12" t="str">
        <x:v>未评审</x:v>
      </x:c>
    </x:row>
    <x:row r="8" ht="42" customHeight="1">
      <x:c r="A8" s="10" t="str">
        <x:v>G03</x:v>
      </x:c>
      <x:c r="B8" s="10" t="str">
        <x:v>基本设计</x:v>
      </x:c>
      <x:c r="C8" s="10" t="str">
        <x:v>选择满足要件的整体方案</x:v>
      </x:c>
      <x:c r="D8" s="10" t="str">
        <x:v>经确认的要件</x:v>
      </x:c>
      <x:c r="E8" s="10" t="str">
        <x:v>比较部署、访问、构建和运维方案</x:v>
      </x:c>
      <x:c r="F8" s="10" t="str">
        <x:v>架构、接口与非功能设计</x:v>
      </x:c>
      <x:c r="G8" s="10" t="str">
        <x:v>每项要件有设计对应；费用和主要风险可解释</x:v>
      </x:c>
      <x:c r="H8" s="12" t="str">
        <x:v>未开始</x:v>
      </x:c>
    </x:row>
    <x:row r="9" ht="42" customHeight="1">
      <x:c r="A9" s="11" t="str">
        <x:v>G04</x:v>
      </x:c>
      <x:c r="B9" s="11" t="str">
        <x:v>详细设计</x:v>
      </x:c>
      <x:c r="C9" s="11" t="str">
        <x:v>把方案变成可执行配置</x:v>
      </x:c>
      <x:c r="D9" s="11" t="str">
        <x:v>基本设计</x:v>
      </x:c>
      <x:c r="E9" s="11" t="str">
        <x:v>定义参数、权限、路径、流水线与步骤</x:v>
      </x:c>
      <x:c r="F9" s="11" t="str">
        <x:v>参数表、操作及测试设计</x:v>
      </x:c>
      <x:c r="G9" s="11" t="str">
        <x:v>构建与验证步骤可执行、可回退</x:v>
      </x:c>
      <x:c r="H9" s="12" t="str">
        <x:v>未开始</x:v>
      </x:c>
    </x:row>
    <x:row r="10" ht="42" customHeight="1">
      <x:c r="A10" s="10" t="str">
        <x:v>G05</x:v>
      </x:c>
      <x:c r="B10" s="10" t="str">
        <x:v>构建</x:v>
      </x:c>
      <x:c r="C10" s="10" t="str">
        <x:v>实现 dev 并保存配置</x:v>
      </x:c>
      <x:c r="D10" s="10" t="str">
        <x:v>详细设计、已验证产物</x:v>
      </x:c>
      <x:c r="E10" s="10" t="str">
        <x:v>第一轮控制台；第二轮按约定重建</x:v>
      </x:c>
      <x:c r="F10" s="10" t="str">
        <x:v>配置与构建记录</x:v>
      </x:c>
      <x:c r="G10" s="10" t="str">
        <x:v>实际配置与设计一致；差异已记录</x:v>
      </x:c>
      <x:c r="H10" s="12" t="str">
        <x:v>未开始</x:v>
      </x:c>
    </x:row>
    <x:row r="11" ht="42" customHeight="1">
      <x:c r="A11" s="11" t="str">
        <x:v>G06</x:v>
      </x:c>
      <x:c r="B11" s="11" t="str">
        <x:v>测试与迁移演练</x:v>
      </x:c>
      <x:c r="C11" s="11" t="str">
        <x:v>证明满足要件且可回退</x:v>
      </x:c>
      <x:c r="D11" s="11" t="str">
        <x:v>验收条件、dev、基线</x:v>
      </x:c>
      <x:c r="E11" s="11" t="str">
        <x:v>执行功能、非功能、失败及回退验证</x:v>
      </x:c>
      <x:c r="F11" s="11" t="str">
        <x:v>测试证据、问题清单</x:v>
      </x:c>
      <x:c r="G11" s="11" t="str">
        <x:v>必须验收通过或偏差获明确批准</x:v>
      </x:c>
      <x:c r="H11" s="12" t="str">
        <x:v>未开始</x:v>
      </x:c>
    </x:row>
    <x:row r="12" ht="42" customHeight="1">
      <x:c r="A12" s="10" t="str">
        <x:v>G07</x:v>
      </x:c>
      <x:c r="B12" s="10" t="str">
        <x:v>正式迁移</x:v>
      </x:c>
      <x:c r="C12" s="10" t="str">
        <x:v>按计划切换并验证业务</x:v>
      </x:c>
      <x:c r="D12" s="10" t="str">
        <x:v>演练结论、切换方案</x:v>
      </x:c>
      <x:c r="E12" s="10" t="str">
        <x:v>执行切换、验证，必要时回退</x:v>
      </x:c>
      <x:c r="F12" s="10" t="str">
        <x:v>切换记录、正式验收</x:v>
      </x:c>
      <x:c r="G12" s="10" t="str">
        <x:v>业务正常；责任方确认结果</x:v>
      </x:c>
      <x:c r="H12" s="12" t="str">
        <x:v>未开始</x:v>
      </x:c>
    </x:row>
    <x:row r="13" ht="42" customHeight="1">
      <x:c r="A13" s="11" t="str">
        <x:v>G08</x:v>
      </x:c>
      <x:c r="B13" s="11" t="str">
        <x:v>运维交接</x:v>
      </x:c>
      <x:c r="C13" s="11" t="str">
        <x:v>使环境可持续维护</x:v>
      </x:c>
      <x:c r="D13" s="11" t="str">
        <x:v>正式环境、运维要求</x:v>
      </x:c>
      <x:c r="E13" s="11" t="str">
        <x:v>交接监控、费用、恢复和操作资料</x:v>
      </x:c>
      <x:c r="F13" s="11" t="str">
        <x:v>运维手册、责任与交接记录</x:v>
      </x:c>
      <x:c r="G13" s="11" t="str">
        <x:v>接手人可执行常规操作和故障恢复</x:v>
      </x:c>
      <x:c r="H13" s="12" t="str">
        <x:v>未开始</x:v>
      </x:c>
    </x:row>
  </x:sheetData>
  <x:dataValidations count="1">
    <x:dataValidation type="list" sqref="H6:H13">
      <x:formula1>"未开始,未评审,评审中,通过,需修订"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bf432af2d74c24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7" hidden="0" customWidth="1"/>
    <x:col min="3" max="3" width="65" hidden="0" customWidth="1"/>
    <x:col min="4" max="4" width="17" hidden="0" customWidth="1"/>
    <x:col min="5" max="5" width="24" hidden="0" customWidth="1"/>
    <x:col min="6" max="6" width="35" hidden="0" customWidth="1"/>
    <x:col min="7" max="7" width="39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页面迁移基线</x:v>
      </x:c>
      <x:c r="B2" s="2"/>
      <x:c r="C2" s="2"/>
      <x:c r="D2" s="2"/>
      <x:c r="E2" s="2"/>
      <x:c r="F2" s="2"/>
      <x:c r="G2" s="2"/>
    </x:row>
    <x:row r="3">
      <x:c r="A3" s="4" t="str">
        <x:v>本表记录既有线上核对；目标 URL 留待域名与路径决策</x:v>
      </x:c>
      <x:c r="B3" s="2"/>
      <x:c r="C3" s="2"/>
      <x:c r="D3" s="2"/>
      <x:c r="E3" s="2"/>
      <x:c r="F3" s="2"/>
      <x:c r="G3" s="2"/>
    </x:row>
    <x:row r="4">
      <x:c r="A4" s="2"/>
      <x:c r="B4" s="2"/>
      <x:c r="C4" s="2"/>
      <x:c r="D4" s="2"/>
      <x:c r="E4" s="2"/>
      <x:c r="F4" s="2"/>
      <x:c r="G4" s="2"/>
    </x:row>
    <x:row r="5" ht="38" customHeight="1">
      <x:c r="A5" s="8" t="str">
        <x:v>页面ID</x:v>
      </x:c>
      <x:c r="B5" s="8" t="str">
        <x:v>语言</x:v>
      </x:c>
      <x:c r="C5" s="8" t="str">
        <x:v>现有路径</x:v>
      </x:c>
      <x:c r="D5" s="8" t="str">
        <x:v>类型</x:v>
      </x:c>
      <x:c r="E5" s="8" t="str">
        <x:v>线上核对</x:v>
      </x:c>
      <x:c r="F5" s="8" t="str">
        <x:v>关联要件</x:v>
      </x:c>
      <x:c r="G5" s="8" t="str">
        <x:v>目标路径／处置</x:v>
      </x:c>
    </x:row>
    <x:row r="6" ht="42" customHeight="1">
      <x:c r="A6" s="10" t="str">
        <x:v>P01</x:v>
      </x:c>
      <x:c r="B6" s="10" t="str">
        <x:v>英文</x:v>
      </x:c>
      <x:c r="C6" s="10" t="str">
        <x:v>/photoncam/</x:v>
      </x:c>
      <x:c r="D6" s="10" t="str">
        <x:v>内容页</x:v>
      </x:c>
      <x:c r="E6" s="10" t="str">
        <x:v>200；与ZIP一致</x:v>
      </x:c>
      <x:c r="F6" s="10" t="str">
        <x:v>R02,R06；错误页另见R07</x:v>
      </x:c>
      <x:c r="G6" s="12" t="str">
        <x:v>待 Q02 决策</x:v>
      </x:c>
    </x:row>
    <x:row r="7" ht="42" customHeight="1">
      <x:c r="A7" s="11" t="str">
        <x:v>P02</x:v>
      </x:c>
      <x:c r="B7" s="11" t="str">
        <x:v>英文</x:v>
      </x:c>
      <x:c r="C7" s="11" t="str">
        <x:v>/photoncam/404.html</x:v>
      </x:c>
      <x:c r="D7" s="11" t="str">
        <x:v>错误页</x:v>
      </x:c>
      <x:c r="E7" s="11" t="str">
        <x:v>200；与ZIP一致</x:v>
      </x:c>
      <x:c r="F7" s="11" t="str">
        <x:v>R02,R06；错误页另见R07</x:v>
      </x:c>
      <x:c r="G7" s="12" t="str">
        <x:v>待 Q02 决策</x:v>
      </x:c>
    </x:row>
    <x:row r="8" ht="42" customHeight="1">
      <x:c r="A8" s="10" t="str">
        <x:v>P03</x:v>
      </x:c>
      <x:c r="B8" s="10" t="str">
        <x:v>英文</x:v>
      </x:c>
      <x:c r="C8" s="10" t="str">
        <x:v>/photoncam/Background/</x:v>
      </x:c>
      <x:c r="D8" s="10" t="str">
        <x:v>内容页</x:v>
      </x:c>
      <x:c r="E8" s="10" t="str">
        <x:v>200；与ZIP一致</x:v>
      </x:c>
      <x:c r="F8" s="10" t="str">
        <x:v>R02,R06；错误页另见R07</x:v>
      </x:c>
      <x:c r="G8" s="12" t="str">
        <x:v>待 Q02 决策</x:v>
      </x:c>
    </x:row>
    <x:row r="9" ht="42" customHeight="1">
      <x:c r="A9" s="11" t="str">
        <x:v>P04</x:v>
      </x:c>
      <x:c r="B9" s="11" t="str">
        <x:v>简体中文</x:v>
      </x:c>
      <x:c r="C9" s="11" t="str">
        <x:v>/photoncam/zh-hans/</x:v>
      </x:c>
      <x:c r="D9" s="11" t="str">
        <x:v>内容页</x:v>
      </x:c>
      <x:c r="E9" s="11" t="str">
        <x:v>200；与ZIP一致</x:v>
      </x:c>
      <x:c r="F9" s="11" t="str">
        <x:v>R02,R06；错误页另见R07</x:v>
      </x:c>
      <x:c r="G9" s="12" t="str">
        <x:v>待 Q02 决策</x:v>
      </x:c>
    </x:row>
    <x:row r="10" ht="42" customHeight="1">
      <x:c r="A10" s="10" t="str">
        <x:v>P05</x:v>
      </x:c>
      <x:c r="B10" s="10" t="str">
        <x:v>简体中文</x:v>
      </x:c>
      <x:c r="C10" s="10" t="str">
        <x:v>/photoncam/zh-hans/404.html</x:v>
      </x:c>
      <x:c r="D10" s="10" t="str">
        <x:v>错误页</x:v>
      </x:c>
      <x:c r="E10" s="10" t="str">
        <x:v>200；与ZIP一致</x:v>
      </x:c>
      <x:c r="F10" s="10" t="str">
        <x:v>R02,R06；错误页另见R07</x:v>
      </x:c>
      <x:c r="G10" s="12" t="str">
        <x:v>待 Q02 决策</x:v>
      </x:c>
    </x:row>
    <x:row r="11" ht="42" customHeight="1">
      <x:c r="A11" s="11" t="str">
        <x:v>P06</x:v>
      </x:c>
      <x:c r="B11" s="11" t="str">
        <x:v>英文</x:v>
      </x:c>
      <x:c r="C11" s="11" t="str">
        <x:v>/photoncam/privacy/</x:v>
      </x:c>
      <x:c r="D11" s="11" t="str">
        <x:v>内容页</x:v>
      </x:c>
      <x:c r="E11" s="11" t="str">
        <x:v>200；与ZIP一致</x:v>
      </x:c>
      <x:c r="F11" s="11" t="str">
        <x:v>R02,R06；错误页另见R07</x:v>
      </x:c>
      <x:c r="G11" s="12" t="str">
        <x:v>待 Q02 决策</x:v>
      </x:c>
    </x:row>
    <x:row r="12" ht="42" customHeight="1">
      <x:c r="A12" s="10" t="str">
        <x:v>P07</x:v>
      </x:c>
      <x:c r="B12" s="10" t="str">
        <x:v>英文</x:v>
      </x:c>
      <x:c r="C12" s="10" t="str">
        <x:v>/photoncam/gallery/</x:v>
      </x:c>
      <x:c r="D12" s="10" t="str">
        <x:v>内容页</x:v>
      </x:c>
      <x:c r="E12" s="10" t="str">
        <x:v>200；与ZIP一致</x:v>
      </x:c>
      <x:c r="F12" s="10" t="str">
        <x:v>R02,R06；错误页另见R07</x:v>
      </x:c>
      <x:c r="G12" s="12" t="str">
        <x:v>待 Q02 决策</x:v>
      </x:c>
    </x:row>
    <x:row r="13" ht="42" customHeight="1">
      <x:c r="A13" s="11" t="str">
        <x:v>P08</x:v>
      </x:c>
      <x:c r="B13" s="11" t="str">
        <x:v>英文</x:v>
      </x:c>
      <x:c r="C13" s="11" t="str">
        <x:v>/photoncam/Subscriptions/</x:v>
      </x:c>
      <x:c r="D13" s="11" t="str">
        <x:v>内容页</x:v>
      </x:c>
      <x:c r="E13" s="11" t="str">
        <x:v>200；与ZIP一致</x:v>
      </x:c>
      <x:c r="F13" s="11" t="str">
        <x:v>R02,R06；错误页另见R07</x:v>
      </x:c>
      <x:c r="G13" s="12" t="str">
        <x:v>待 Q02 决策</x:v>
      </x:c>
    </x:row>
    <x:row r="14" ht="42" customHeight="1">
      <x:c r="A14" s="10" t="str">
        <x:v>P09</x:v>
      </x:c>
      <x:c r="B14" s="10" t="str">
        <x:v>简体中文</x:v>
      </x:c>
      <x:c r="C14" s="10" t="str">
        <x:v>/photoncam/zh-hans/Background/</x:v>
      </x:c>
      <x:c r="D14" s="10" t="str">
        <x:v>内容页</x:v>
      </x:c>
      <x:c r="E14" s="10" t="str">
        <x:v>200；与ZIP一致</x:v>
      </x:c>
      <x:c r="F14" s="10" t="str">
        <x:v>R02,R06；错误页另见R07</x:v>
      </x:c>
      <x:c r="G14" s="12" t="str">
        <x:v>待 Q02 决策</x:v>
      </x:c>
    </x:row>
    <x:row r="15" ht="42" customHeight="1">
      <x:c r="A15" s="11" t="str">
        <x:v>P10</x:v>
      </x:c>
      <x:c r="B15" s="11" t="str">
        <x:v>简体中文</x:v>
      </x:c>
      <x:c r="C15" s="11" t="str">
        <x:v>/photoncam/zh-hans/privacy/</x:v>
      </x:c>
      <x:c r="D15" s="11" t="str">
        <x:v>内容页</x:v>
      </x:c>
      <x:c r="E15" s="11" t="str">
        <x:v>200；与ZIP一致</x:v>
      </x:c>
      <x:c r="F15" s="11" t="str">
        <x:v>R02,R06；错误页另见R07</x:v>
      </x:c>
      <x:c r="G15" s="12" t="str">
        <x:v>待 Q02 决策</x:v>
      </x:c>
    </x:row>
    <x:row r="16" ht="42" customHeight="1">
      <x:c r="A16" s="10" t="str">
        <x:v>P11</x:v>
      </x:c>
      <x:c r="B16" s="10" t="str">
        <x:v>简体中文</x:v>
      </x:c>
      <x:c r="C16" s="10" t="str">
        <x:v>/photoncam/zh-hans/gallery/</x:v>
      </x:c>
      <x:c r="D16" s="10" t="str">
        <x:v>内容页</x:v>
      </x:c>
      <x:c r="E16" s="10" t="str">
        <x:v>200；与ZIP一致</x:v>
      </x:c>
      <x:c r="F16" s="10" t="str">
        <x:v>R02,R06；错误页另见R07</x:v>
      </x:c>
      <x:c r="G16" s="12" t="str">
        <x:v>待 Q02 决策</x:v>
      </x:c>
    </x:row>
    <x:row r="17" ht="42" customHeight="1">
      <x:c r="A17" s="11" t="str">
        <x:v>P12</x:v>
      </x:c>
      <x:c r="B17" s="11" t="str">
        <x:v>简体中文</x:v>
      </x:c>
      <x:c r="C17" s="11" t="str">
        <x:v>/photoncam/zh-hans/Subscriptions/</x:v>
      </x:c>
      <x:c r="D17" s="11" t="str">
        <x:v>内容页</x:v>
      </x:c>
      <x:c r="E17" s="11" t="str">
        <x:v>200；与ZIP一致</x:v>
      </x:c>
      <x:c r="F17" s="11" t="str">
        <x:v>R02,R06；错误页另见R07</x:v>
      </x:c>
      <x:c r="G17" s="12" t="str">
        <x:v>待 Q02 决策</x:v>
      </x:c>
    </x:row>
    <x:row r="18" ht="42" customHeight="1">
      <x:c r="A18" s="10" t="str">
        <x:v>P13</x:v>
      </x:c>
      <x:c r="B18" s="10" t="str">
        <x:v>英文</x:v>
      </x:c>
      <x:c r="C18" s="10" t="str">
        <x:v>/photoncam/docs/ManageFilters/</x:v>
      </x:c>
      <x:c r="D18" s="10" t="str">
        <x:v>教程</x:v>
      </x:c>
      <x:c r="E18" s="10" t="str">
        <x:v>200；与ZIP一致</x:v>
      </x:c>
      <x:c r="F18" s="10" t="str">
        <x:v>R02,R06；错误页另见R07</x:v>
      </x:c>
      <x:c r="G18" s="12" t="str">
        <x:v>待 Q02 决策</x:v>
      </x:c>
    </x:row>
    <x:row r="19" ht="42" customHeight="1">
      <x:c r="A19" s="11" t="str">
        <x:v>P14</x:v>
      </x:c>
      <x:c r="B19" s="11" t="str">
        <x:v>英文</x:v>
      </x:c>
      <x:c r="C19" s="11" t="str">
        <x:v>/photoncam/docs/PhotoExtension/</x:v>
      </x:c>
      <x:c r="D19" s="11" t="str">
        <x:v>教程</x:v>
      </x:c>
      <x:c r="E19" s="11" t="str">
        <x:v>200；与ZIP一致</x:v>
      </x:c>
      <x:c r="F19" s="11" t="str">
        <x:v>R02,R06；错误页另见R07</x:v>
      </x:c>
      <x:c r="G19" s="12" t="str">
        <x:v>待 Q02 决策</x:v>
      </x:c>
    </x:row>
    <x:row r="20" ht="42" customHeight="1">
      <x:c r="A20" s="10" t="str">
        <x:v>P15</x:v>
      </x:c>
      <x:c r="B20" s="10" t="str">
        <x:v>英文</x:v>
      </x:c>
      <x:c r="C20" s="10" t="str">
        <x:v>/photoncam/docs/ImportLut/</x:v>
      </x:c>
      <x:c r="D20" s="10" t="str">
        <x:v>教程</x:v>
      </x:c>
      <x:c r="E20" s="10" t="str">
        <x:v>200；与ZIP一致</x:v>
      </x:c>
      <x:c r="F20" s="10" t="str">
        <x:v>R02,R06；错误页另见R07</x:v>
      </x:c>
      <x:c r="G20" s="12" t="str">
        <x:v>待 Q02 决策</x:v>
      </x:c>
    </x:row>
    <x:row r="21" ht="42" customHeight="1">
      <x:c r="A21" s="11" t="str">
        <x:v>P16</x:v>
      </x:c>
      <x:c r="B21" s="11" t="str">
        <x:v>英文</x:v>
      </x:c>
      <x:c r="C21" s="11" t="str">
        <x:v>/photoncam/docs/FusionCamera/</x:v>
      </x:c>
      <x:c r="D21" s="11" t="str">
        <x:v>教程</x:v>
      </x:c>
      <x:c r="E21" s="11" t="str">
        <x:v>200；与ZIP一致</x:v>
      </x:c>
      <x:c r="F21" s="11" t="str">
        <x:v>R02,R06；错误页另见R07</x:v>
      </x:c>
      <x:c r="G21" s="12" t="str">
        <x:v>待 Q02 决策</x:v>
      </x:c>
    </x:row>
    <x:row r="22" ht="42" customHeight="1">
      <x:c r="A22" s="10" t="str">
        <x:v>P17</x:v>
      </x:c>
      <x:c r="B22" s="10" t="str">
        <x:v>英文</x:v>
      </x:c>
      <x:c r="C22" s="10" t="str">
        <x:v>/photoncam/docs/LogLut/</x:v>
      </x:c>
      <x:c r="D22" s="10" t="str">
        <x:v>教程</x:v>
      </x:c>
      <x:c r="E22" s="10" t="str">
        <x:v>200；与ZIP一致</x:v>
      </x:c>
      <x:c r="F22" s="10" t="str">
        <x:v>R02,R06；错误页另见R07</x:v>
      </x:c>
      <x:c r="G22" s="12" t="str">
        <x:v>待 Q02 决策</x:v>
      </x:c>
    </x:row>
    <x:row r="23" ht="42" customHeight="1">
      <x:c r="A23" s="11" t="str">
        <x:v>P18</x:v>
      </x:c>
      <x:c r="B23" s="11" t="str">
        <x:v>英文</x:v>
      </x:c>
      <x:c r="C23" s="11" t="str">
        <x:v>/photoncam/docs/CaptureProcess/</x:v>
      </x:c>
      <x:c r="D23" s="11" t="str">
        <x:v>教程</x:v>
      </x:c>
      <x:c r="E23" s="11" t="str">
        <x:v>200；与ZIP一致</x:v>
      </x:c>
      <x:c r="F23" s="11" t="str">
        <x:v>R02,R06；错误页另见R07</x:v>
      </x:c>
      <x:c r="G23" s="12" t="str">
        <x:v>待 Q02 决策</x:v>
      </x:c>
    </x:row>
    <x:row r="24" ht="42" customHeight="1">
      <x:c r="A24" s="10" t="str">
        <x:v>P19</x:v>
      </x:c>
      <x:c r="B24" s="10" t="str">
        <x:v>英文</x:v>
      </x:c>
      <x:c r="C24" s="10" t="str">
        <x:v>/photoncam/docs/intro/</x:v>
      </x:c>
      <x:c r="D24" s="10" t="str">
        <x:v>教程</x:v>
      </x:c>
      <x:c r="E24" s="10" t="str">
        <x:v>200；与ZIP一致</x:v>
      </x:c>
      <x:c r="F24" s="10" t="str">
        <x:v>R02,R06；错误页另见R07</x:v>
      </x:c>
      <x:c r="G24" s="12" t="str">
        <x:v>待 Q02 决策</x:v>
      </x:c>
    </x:row>
    <x:row r="25" ht="42" customHeight="1">
      <x:c r="A25" s="11" t="str">
        <x:v>P20</x:v>
      </x:c>
      <x:c r="B25" s="11" t="str">
        <x:v>英文</x:v>
      </x:c>
      <x:c r="C25" s="11" t="str">
        <x:v>/photoncam/docs/AdvanceTools/</x:v>
      </x:c>
      <x:c r="D25" s="11" t="str">
        <x:v>教程</x:v>
      </x:c>
      <x:c r="E25" s="11" t="str">
        <x:v>200；与ZIP一致</x:v>
      </x:c>
      <x:c r="F25" s="11" t="str">
        <x:v>R02,R06；错误页另见R07</x:v>
      </x:c>
      <x:c r="G25" s="12" t="str">
        <x:v>待 Q02 决策</x:v>
      </x:c>
    </x:row>
    <x:row r="26" ht="42" customHeight="1">
      <x:c r="A26" s="10" t="str">
        <x:v>P21</x:v>
      </x:c>
      <x:c r="B26" s="10" t="str">
        <x:v>英文</x:v>
      </x:c>
      <x:c r="C26" s="10" t="str">
        <x:v>/photoncam/docs/HDR/</x:v>
      </x:c>
      <x:c r="D26" s="10" t="str">
        <x:v>教程</x:v>
      </x:c>
      <x:c r="E26" s="10" t="str">
        <x:v>200；与ZIP一致</x:v>
      </x:c>
      <x:c r="F26" s="10" t="str">
        <x:v>R02,R06；错误页另见R07</x:v>
      </x:c>
      <x:c r="G26" s="12" t="str">
        <x:v>待 Q02 决策</x:v>
      </x:c>
    </x:row>
    <x:row r="27" ht="42" customHeight="1">
      <x:c r="A27" s="11" t="str">
        <x:v>P22</x:v>
      </x:c>
      <x:c r="B27" s="11" t="str">
        <x:v>英文</x:v>
      </x:c>
      <x:c r="C27" s="11" t="str">
        <x:v>/photoncam/docs/HDRVideo/</x:v>
      </x:c>
      <x:c r="D27" s="11" t="str">
        <x:v>教程</x:v>
      </x:c>
      <x:c r="E27" s="11" t="str">
        <x:v>200；与ZIP一致</x:v>
      </x:c>
      <x:c r="F27" s="11" t="str">
        <x:v>R02,R06；错误页另见R07</x:v>
      </x:c>
      <x:c r="G27" s="12" t="str">
        <x:v>待 Q02 决策</x:v>
      </x:c>
    </x:row>
    <x:row r="28" ht="42" customHeight="1">
      <x:c r="A28" s="10" t="str">
        <x:v>P23</x:v>
      </x:c>
      <x:c r="B28" s="10" t="str">
        <x:v>英文</x:v>
      </x:c>
      <x:c r="C28" s="10" t="str">
        <x:v>/photoncam/docs/CaptureSettingsGuide/</x:v>
      </x:c>
      <x:c r="D28" s="10" t="str">
        <x:v>教程</x:v>
      </x:c>
      <x:c r="E28" s="10" t="str">
        <x:v>200；与ZIP一致</x:v>
      </x:c>
      <x:c r="F28" s="10" t="str">
        <x:v>R02,R06；错误页另见R07</x:v>
      </x:c>
      <x:c r="G28" s="12" t="str">
        <x:v>待 Q02 决策</x:v>
      </x:c>
    </x:row>
    <x:row r="29" ht="42" customHeight="1">
      <x:c r="A29" s="11" t="str">
        <x:v>P24</x:v>
      </x:c>
      <x:c r="B29" s="11" t="str">
        <x:v>英文</x:v>
      </x:c>
      <x:c r="C29" s="11" t="str">
        <x:v>/photoncam/docs/InAppTutorial/</x:v>
      </x:c>
      <x:c r="D29" s="11" t="str">
        <x:v>教程</x:v>
      </x:c>
      <x:c r="E29" s="11" t="str">
        <x:v>200；与ZIP一致</x:v>
      </x:c>
      <x:c r="F29" s="11" t="str">
        <x:v>R02,R06；错误页另见R07</x:v>
      </x:c>
      <x:c r="G29" s="12" t="str">
        <x:v>待 Q02 决策</x:v>
      </x:c>
    </x:row>
    <x:row r="30" ht="42" customHeight="1">
      <x:c r="A30" s="10" t="str">
        <x:v>P25</x:v>
      </x:c>
      <x:c r="B30" s="10" t="str">
        <x:v>英文</x:v>
      </x:c>
      <x:c r="C30" s="10" t="str">
        <x:v>/photoncam/docs/LumixLabLog/</x:v>
      </x:c>
      <x:c r="D30" s="10" t="str">
        <x:v>教程</x:v>
      </x:c>
      <x:c r="E30" s="10" t="str">
        <x:v>200；与ZIP一致</x:v>
      </x:c>
      <x:c r="F30" s="10" t="str">
        <x:v>R02,R06；错误页另见R07</x:v>
      </x:c>
      <x:c r="G30" s="12" t="str">
        <x:v>待 Q02 决策</x:v>
      </x:c>
    </x:row>
    <x:row r="31" ht="42" customHeight="1">
      <x:c r="A31" s="11" t="str">
        <x:v>P26</x:v>
      </x:c>
      <x:c r="B31" s="11" t="str">
        <x:v>英文</x:v>
      </x:c>
      <x:c r="C31" s="11" t="str">
        <x:v>/photoncam/docs/QA/</x:v>
      </x:c>
      <x:c r="D31" s="11" t="str">
        <x:v>教程</x:v>
      </x:c>
      <x:c r="E31" s="11" t="str">
        <x:v>200；与ZIP一致</x:v>
      </x:c>
      <x:c r="F31" s="11" t="str">
        <x:v>R02,R06；错误页另见R07</x:v>
      </x:c>
      <x:c r="G31" s="12" t="str">
        <x:v>待 Q02 决策</x:v>
      </x:c>
    </x:row>
    <x:row r="32" ht="42" customHeight="1">
      <x:c r="A32" s="10" t="str">
        <x:v>P27</x:v>
      </x:c>
      <x:c r="B32" s="10" t="str">
        <x:v>英文</x:v>
      </x:c>
      <x:c r="C32" s="10" t="str">
        <x:v>/photoncam/docs/CovnertXMPToCube/</x:v>
      </x:c>
      <x:c r="D32" s="10" t="str">
        <x:v>教程</x:v>
      </x:c>
      <x:c r="E32" s="10" t="str">
        <x:v>200；与ZIP一致</x:v>
      </x:c>
      <x:c r="F32" s="10" t="str">
        <x:v>R02,R06；错误页另见R07</x:v>
      </x:c>
      <x:c r="G32" s="12" t="str">
        <x:v>待 Q02 决策</x:v>
      </x:c>
    </x:row>
    <x:row r="33" ht="42" customHeight="1">
      <x:c r="A33" s="11" t="str">
        <x:v>P28</x:v>
      </x:c>
      <x:c r="B33" s="11" t="str">
        <x:v>英文</x:v>
      </x:c>
      <x:c r="C33" s="11" t="str">
        <x:v>/photoncam/docs/DesharpenSettings/</x:v>
      </x:c>
      <x:c r="D33" s="11" t="str">
        <x:v>教程</x:v>
      </x:c>
      <x:c r="E33" s="11" t="str">
        <x:v>200；与ZIP一致</x:v>
      </x:c>
      <x:c r="F33" s="11" t="str">
        <x:v>R02,R06；错误页另见R07</x:v>
      </x:c>
      <x:c r="G33" s="12" t="str">
        <x:v>待 Q02 决策</x:v>
      </x:c>
    </x:row>
    <x:row r="34" ht="42" customHeight="1">
      <x:c r="A34" s="10" t="str">
        <x:v>P29</x:v>
      </x:c>
      <x:c r="B34" s="10" t="str">
        <x:v>英文</x:v>
      </x:c>
      <x:c r="C34" s="10" t="str">
        <x:v>/photoncam/docs/BatchEdit/</x:v>
      </x:c>
      <x:c r="D34" s="10" t="str">
        <x:v>教程</x:v>
      </x:c>
      <x:c r="E34" s="10" t="str">
        <x:v>200；与ZIP一致</x:v>
      </x:c>
      <x:c r="F34" s="10" t="str">
        <x:v>R02,R06；错误页另见R07</x:v>
      </x:c>
      <x:c r="G34" s="12" t="str">
        <x:v>待 Q02 决策</x:v>
      </x:c>
    </x:row>
    <x:row r="35" ht="42" customHeight="1">
      <x:c r="A35" s="11" t="str">
        <x:v>P30</x:v>
      </x:c>
      <x:c r="B35" s="11" t="str">
        <x:v>英文</x:v>
      </x:c>
      <x:c r="C35" s="11" t="str">
        <x:v>/photoncam/docs/RemoveWatermark/</x:v>
      </x:c>
      <x:c r="D35" s="11" t="str">
        <x:v>教程</x:v>
      </x:c>
      <x:c r="E35" s="11" t="str">
        <x:v>200；与ZIP一致</x:v>
      </x:c>
      <x:c r="F35" s="11" t="str">
        <x:v>R02,R06；错误页另见R07</x:v>
      </x:c>
      <x:c r="G35" s="12" t="str">
        <x:v>待 Q02 决策</x:v>
      </x:c>
    </x:row>
    <x:row r="36" ht="42" customHeight="1">
      <x:c r="A36" s="10" t="str">
        <x:v>P31</x:v>
      </x:c>
      <x:c r="B36" s="10" t="str">
        <x:v>英文</x:v>
      </x:c>
      <x:c r="C36" s="10" t="str">
        <x:v>/photoncam/docs/Luts/</x:v>
      </x:c>
      <x:c r="D36" s="10" t="str">
        <x:v>教程</x:v>
      </x:c>
      <x:c r="E36" s="10" t="str">
        <x:v>200；与ZIP一致</x:v>
      </x:c>
      <x:c r="F36" s="10" t="str">
        <x:v>R02,R06；错误页另见R07</x:v>
      </x:c>
      <x:c r="G36" s="12" t="str">
        <x:v>待 Q02 决策</x:v>
      </x:c>
    </x:row>
    <x:row r="37" ht="42" customHeight="1">
      <x:c r="A37" s="11" t="str">
        <x:v>P32</x:v>
      </x:c>
      <x:c r="B37" s="11" t="str">
        <x:v>简体中文</x:v>
      </x:c>
      <x:c r="C37" s="11" t="str">
        <x:v>/photoncam/zh-hans/docs/ManageFilters/</x:v>
      </x:c>
      <x:c r="D37" s="11" t="str">
        <x:v>教程</x:v>
      </x:c>
      <x:c r="E37" s="11" t="str">
        <x:v>200；与ZIP一致</x:v>
      </x:c>
      <x:c r="F37" s="11" t="str">
        <x:v>R02,R06；错误页另见R07</x:v>
      </x:c>
      <x:c r="G37" s="12" t="str">
        <x:v>待 Q02 决策</x:v>
      </x:c>
    </x:row>
    <x:row r="38" ht="42" customHeight="1">
      <x:c r="A38" s="10" t="str">
        <x:v>P33</x:v>
      </x:c>
      <x:c r="B38" s="10" t="str">
        <x:v>简体中文</x:v>
      </x:c>
      <x:c r="C38" s="10" t="str">
        <x:v>/photoncam/zh-hans/docs/PhotoExtension/</x:v>
      </x:c>
      <x:c r="D38" s="10" t="str">
        <x:v>教程</x:v>
      </x:c>
      <x:c r="E38" s="10" t="str">
        <x:v>200；与ZIP一致</x:v>
      </x:c>
      <x:c r="F38" s="10" t="str">
        <x:v>R02,R06；错误页另见R07</x:v>
      </x:c>
      <x:c r="G38" s="12" t="str">
        <x:v>待 Q02 决策</x:v>
      </x:c>
    </x:row>
    <x:row r="39" ht="42" customHeight="1">
      <x:c r="A39" s="11" t="str">
        <x:v>P34</x:v>
      </x:c>
      <x:c r="B39" s="11" t="str">
        <x:v>简体中文</x:v>
      </x:c>
      <x:c r="C39" s="11" t="str">
        <x:v>/photoncam/zh-hans/docs/ImportLut/</x:v>
      </x:c>
      <x:c r="D39" s="11" t="str">
        <x:v>教程</x:v>
      </x:c>
      <x:c r="E39" s="11" t="str">
        <x:v>200；与ZIP一致</x:v>
      </x:c>
      <x:c r="F39" s="11" t="str">
        <x:v>R02,R06；错误页另见R07</x:v>
      </x:c>
      <x:c r="G39" s="12" t="str">
        <x:v>待 Q02 决策</x:v>
      </x:c>
    </x:row>
    <x:row r="40" ht="42" customHeight="1">
      <x:c r="A40" s="10" t="str">
        <x:v>P35</x:v>
      </x:c>
      <x:c r="B40" s="10" t="str">
        <x:v>简体中文</x:v>
      </x:c>
      <x:c r="C40" s="10" t="str">
        <x:v>/photoncam/zh-hans/docs/FusionCamera/</x:v>
      </x:c>
      <x:c r="D40" s="10" t="str">
        <x:v>教程</x:v>
      </x:c>
      <x:c r="E40" s="10" t="str">
        <x:v>200；与ZIP一致</x:v>
      </x:c>
      <x:c r="F40" s="10" t="str">
        <x:v>R02,R06；错误页另见R07</x:v>
      </x:c>
      <x:c r="G40" s="12" t="str">
        <x:v>待 Q02 决策</x:v>
      </x:c>
    </x:row>
    <x:row r="41" ht="42" customHeight="1">
      <x:c r="A41" s="11" t="str">
        <x:v>P36</x:v>
      </x:c>
      <x:c r="B41" s="11" t="str">
        <x:v>简体中文</x:v>
      </x:c>
      <x:c r="C41" s="11" t="str">
        <x:v>/photoncam/zh-hans/docs/LogLut/</x:v>
      </x:c>
      <x:c r="D41" s="11" t="str">
        <x:v>教程</x:v>
      </x:c>
      <x:c r="E41" s="11" t="str">
        <x:v>200；与ZIP一致</x:v>
      </x:c>
      <x:c r="F41" s="11" t="str">
        <x:v>R02,R06；错误页另见R07</x:v>
      </x:c>
      <x:c r="G41" s="12" t="str">
        <x:v>待 Q02 决策</x:v>
      </x:c>
    </x:row>
    <x:row r="42" ht="42" customHeight="1">
      <x:c r="A42" s="10" t="str">
        <x:v>P37</x:v>
      </x:c>
      <x:c r="B42" s="10" t="str">
        <x:v>简体中文</x:v>
      </x:c>
      <x:c r="C42" s="10" t="str">
        <x:v>/photoncam/zh-hans/docs/CaptureProcess/</x:v>
      </x:c>
      <x:c r="D42" s="10" t="str">
        <x:v>教程</x:v>
      </x:c>
      <x:c r="E42" s="10" t="str">
        <x:v>200；与ZIP一致</x:v>
      </x:c>
      <x:c r="F42" s="10" t="str">
        <x:v>R02,R06；错误页另见R07</x:v>
      </x:c>
      <x:c r="G42" s="12" t="str">
        <x:v>待 Q02 决策</x:v>
      </x:c>
    </x:row>
    <x:row r="43" ht="42" customHeight="1">
      <x:c r="A43" s="11" t="str">
        <x:v>P38</x:v>
      </x:c>
      <x:c r="B43" s="11" t="str">
        <x:v>简体中文</x:v>
      </x:c>
      <x:c r="C43" s="11" t="str">
        <x:v>/photoncam/zh-hans/docs/intro/</x:v>
      </x:c>
      <x:c r="D43" s="11" t="str">
        <x:v>教程</x:v>
      </x:c>
      <x:c r="E43" s="11" t="str">
        <x:v>200；与ZIP一致</x:v>
      </x:c>
      <x:c r="F43" s="11" t="str">
        <x:v>R02,R06；错误页另见R07</x:v>
      </x:c>
      <x:c r="G43" s="12" t="str">
        <x:v>待 Q02 决策</x:v>
      </x:c>
    </x:row>
    <x:row r="44" ht="42" customHeight="1">
      <x:c r="A44" s="10" t="str">
        <x:v>P39</x:v>
      </x:c>
      <x:c r="B44" s="10" t="str">
        <x:v>简体中文</x:v>
      </x:c>
      <x:c r="C44" s="10" t="str">
        <x:v>/photoncam/zh-hans/docs/AdvanceTools/</x:v>
      </x:c>
      <x:c r="D44" s="10" t="str">
        <x:v>教程</x:v>
      </x:c>
      <x:c r="E44" s="10" t="str">
        <x:v>200；与ZIP一致</x:v>
      </x:c>
      <x:c r="F44" s="10" t="str">
        <x:v>R02,R06；错误页另见R07</x:v>
      </x:c>
      <x:c r="G44" s="12" t="str">
        <x:v>待 Q02 决策</x:v>
      </x:c>
    </x:row>
    <x:row r="45" ht="42" customHeight="1">
      <x:c r="A45" s="11" t="str">
        <x:v>P40</x:v>
      </x:c>
      <x:c r="B45" s="11" t="str">
        <x:v>简体中文</x:v>
      </x:c>
      <x:c r="C45" s="11" t="str">
        <x:v>/photoncam/zh-hans/docs/HDR/</x:v>
      </x:c>
      <x:c r="D45" s="11" t="str">
        <x:v>教程</x:v>
      </x:c>
      <x:c r="E45" s="11" t="str">
        <x:v>200；与ZIP一致</x:v>
      </x:c>
      <x:c r="F45" s="11" t="str">
        <x:v>R02,R06；错误页另见R07</x:v>
      </x:c>
      <x:c r="G45" s="12" t="str">
        <x:v>待 Q02 决策</x:v>
      </x:c>
    </x:row>
    <x:row r="46" ht="42" customHeight="1">
      <x:c r="A46" s="10" t="str">
        <x:v>P41</x:v>
      </x:c>
      <x:c r="B46" s="10" t="str">
        <x:v>简体中文</x:v>
      </x:c>
      <x:c r="C46" s="10" t="str">
        <x:v>/photoncam/zh-hans/docs/HDRVideo/</x:v>
      </x:c>
      <x:c r="D46" s="10" t="str">
        <x:v>教程</x:v>
      </x:c>
      <x:c r="E46" s="10" t="str">
        <x:v>200；与ZIP一致</x:v>
      </x:c>
      <x:c r="F46" s="10" t="str">
        <x:v>R02,R06；错误页另见R07</x:v>
      </x:c>
      <x:c r="G46" s="12" t="str">
        <x:v>待 Q02 决策</x:v>
      </x:c>
    </x:row>
    <x:row r="47" ht="42" customHeight="1">
      <x:c r="A47" s="11" t="str">
        <x:v>P42</x:v>
      </x:c>
      <x:c r="B47" s="11" t="str">
        <x:v>简体中文</x:v>
      </x:c>
      <x:c r="C47" s="11" t="str">
        <x:v>/photoncam/zh-hans/docs/CaptureSettingsGuide/</x:v>
      </x:c>
      <x:c r="D47" s="11" t="str">
        <x:v>教程</x:v>
      </x:c>
      <x:c r="E47" s="11" t="str">
        <x:v>200；与ZIP一致</x:v>
      </x:c>
      <x:c r="F47" s="11" t="str">
        <x:v>R02,R06；错误页另见R07</x:v>
      </x:c>
      <x:c r="G47" s="12" t="str">
        <x:v>待 Q02 决策</x:v>
      </x:c>
    </x:row>
    <x:row r="48" ht="42" customHeight="1">
      <x:c r="A48" s="10" t="str">
        <x:v>P43</x:v>
      </x:c>
      <x:c r="B48" s="10" t="str">
        <x:v>简体中文</x:v>
      </x:c>
      <x:c r="C48" s="10" t="str">
        <x:v>/photoncam/zh-hans/docs/InAppTutorial/</x:v>
      </x:c>
      <x:c r="D48" s="10" t="str">
        <x:v>教程</x:v>
      </x:c>
      <x:c r="E48" s="10" t="str">
        <x:v>200；与ZIP一致</x:v>
      </x:c>
      <x:c r="F48" s="10" t="str">
        <x:v>R02,R06；错误页另见R07</x:v>
      </x:c>
      <x:c r="G48" s="12" t="str">
        <x:v>待 Q02 决策</x:v>
      </x:c>
    </x:row>
    <x:row r="49" ht="42" customHeight="1">
      <x:c r="A49" s="11" t="str">
        <x:v>P44</x:v>
      </x:c>
      <x:c r="B49" s="11" t="str">
        <x:v>简体中文</x:v>
      </x:c>
      <x:c r="C49" s="11" t="str">
        <x:v>/photoncam/zh-hans/docs/LumixLabLog/</x:v>
      </x:c>
      <x:c r="D49" s="11" t="str">
        <x:v>教程</x:v>
      </x:c>
      <x:c r="E49" s="11" t="str">
        <x:v>200；与ZIP一致</x:v>
      </x:c>
      <x:c r="F49" s="11" t="str">
        <x:v>R02,R06；错误页另见R07</x:v>
      </x:c>
      <x:c r="G49" s="12" t="str">
        <x:v>待 Q02 决策</x:v>
      </x:c>
    </x:row>
    <x:row r="50" ht="42" customHeight="1">
      <x:c r="A50" s="10" t="str">
        <x:v>P45</x:v>
      </x:c>
      <x:c r="B50" s="10" t="str">
        <x:v>简体中文</x:v>
      </x:c>
      <x:c r="C50" s="10" t="str">
        <x:v>/photoncam/zh-hans/docs/QA/</x:v>
      </x:c>
      <x:c r="D50" s="10" t="str">
        <x:v>教程</x:v>
      </x:c>
      <x:c r="E50" s="10" t="str">
        <x:v>200；与ZIP一致</x:v>
      </x:c>
      <x:c r="F50" s="10" t="str">
        <x:v>R02,R06；错误页另见R07</x:v>
      </x:c>
      <x:c r="G50" s="12" t="str">
        <x:v>待 Q02 决策</x:v>
      </x:c>
    </x:row>
    <x:row r="51" ht="42" customHeight="1">
      <x:c r="A51" s="11" t="str">
        <x:v>P46</x:v>
      </x:c>
      <x:c r="B51" s="11" t="str">
        <x:v>简体中文</x:v>
      </x:c>
      <x:c r="C51" s="11" t="str">
        <x:v>/photoncam/zh-hans/docs/CovnertXMPToCube/</x:v>
      </x:c>
      <x:c r="D51" s="11" t="str">
        <x:v>教程</x:v>
      </x:c>
      <x:c r="E51" s="11" t="str">
        <x:v>200；与ZIP一致</x:v>
      </x:c>
      <x:c r="F51" s="11" t="str">
        <x:v>R02,R06；错误页另见R07</x:v>
      </x:c>
      <x:c r="G51" s="12" t="str">
        <x:v>待 Q02 决策</x:v>
      </x:c>
    </x:row>
    <x:row r="52" ht="42" customHeight="1">
      <x:c r="A52" s="10" t="str">
        <x:v>P47</x:v>
      </x:c>
      <x:c r="B52" s="10" t="str">
        <x:v>简体中文</x:v>
      </x:c>
      <x:c r="C52" s="10" t="str">
        <x:v>/photoncam/zh-hans/docs/DesharpenSettings/</x:v>
      </x:c>
      <x:c r="D52" s="10" t="str">
        <x:v>教程</x:v>
      </x:c>
      <x:c r="E52" s="10" t="str">
        <x:v>200；与ZIP一致</x:v>
      </x:c>
      <x:c r="F52" s="10" t="str">
        <x:v>R02,R06；错误页另见R07</x:v>
      </x:c>
      <x:c r="G52" s="12" t="str">
        <x:v>待 Q02 决策</x:v>
      </x:c>
    </x:row>
    <x:row r="53" ht="42" customHeight="1">
      <x:c r="A53" s="11" t="str">
        <x:v>P48</x:v>
      </x:c>
      <x:c r="B53" s="11" t="str">
        <x:v>简体中文</x:v>
      </x:c>
      <x:c r="C53" s="11" t="str">
        <x:v>/photoncam/zh-hans/docs/BatchEdit/</x:v>
      </x:c>
      <x:c r="D53" s="11" t="str">
        <x:v>教程</x:v>
      </x:c>
      <x:c r="E53" s="11" t="str">
        <x:v>200；与ZIP一致</x:v>
      </x:c>
      <x:c r="F53" s="11" t="str">
        <x:v>R02,R06；错误页另见R07</x:v>
      </x:c>
      <x:c r="G53" s="12" t="str">
        <x:v>待 Q02 决策</x:v>
      </x:c>
    </x:row>
    <x:row r="54" ht="42" customHeight="1">
      <x:c r="A54" s="10" t="str">
        <x:v>P49</x:v>
      </x:c>
      <x:c r="B54" s="10" t="str">
        <x:v>简体中文</x:v>
      </x:c>
      <x:c r="C54" s="10" t="str">
        <x:v>/photoncam/zh-hans/docs/RemoveWatermark/</x:v>
      </x:c>
      <x:c r="D54" s="10" t="str">
        <x:v>教程</x:v>
      </x:c>
      <x:c r="E54" s="10" t="str">
        <x:v>200；与ZIP一致</x:v>
      </x:c>
      <x:c r="F54" s="10" t="str">
        <x:v>R02,R06；错误页另见R07</x:v>
      </x:c>
      <x:c r="G54" s="12" t="str">
        <x:v>待 Q02 决策</x:v>
      </x:c>
    </x:row>
    <x:row r="55" ht="42" customHeight="1">
      <x:c r="A55" s="11" t="str">
        <x:v>P50</x:v>
      </x:c>
      <x:c r="B55" s="11" t="str">
        <x:v>简体中文</x:v>
      </x:c>
      <x:c r="C55" s="11" t="str">
        <x:v>/photoncam/zh-hans/docs/Luts/</x:v>
      </x:c>
      <x:c r="D55" s="11" t="str">
        <x:v>教程</x:v>
      </x:c>
      <x:c r="E55" s="11" t="str">
        <x:v>200；与ZIP一致</x:v>
      </x:c>
      <x:c r="F55" s="11" t="str">
        <x:v>R02,R06；错误页另见R07</x:v>
      </x:c>
      <x:c r="G55" s="12" t="str">
        <x:v>待 Q02 决策</x:v>
      </x:c>
    </x:row>
  </x:sheetData>
  <x:pageMargins left="0.7" right="0.7" top="0.75" bottom="0.75" header="0.3" footer="0.3"/>
  <x:tableParts count="1">
    <x:tablePart xmlns:r="http://schemas.openxmlformats.org/officeDocument/2006/relationships" r:id="R4995650a1c164c4f"/>
  </x:tableParts>
</x:worksheet>
</file>